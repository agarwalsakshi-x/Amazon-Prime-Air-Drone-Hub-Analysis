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j\Downloads\"/>
    </mc:Choice>
  </mc:AlternateContent>
  <xr:revisionPtr revIDLastSave="0" documentId="13_ncr:1_{B8900774-2C26-410A-A0BC-D6FB695EA5DA}" xr6:coauthVersionLast="47" xr6:coauthVersionMax="47" xr10:uidLastSave="{00000000-0000-0000-0000-000000000000}"/>
  <bookViews>
    <workbookView xWindow="-110" yWindow="-110" windowWidth="19420" windowHeight="11500" firstSheet="4" activeTab="5" xr2:uid="{EEC453A0-DB82-45D6-A608-CB285FBF8E92}"/>
  </bookViews>
  <sheets>
    <sheet name="MA_Cities" sheetId="1" r:id="rId1"/>
    <sheet name="MA_Counties" sheetId="3" r:id="rId2"/>
    <sheet name="HUB LOCATION ANALYSIS USING COG" sheetId="4" r:id="rId3"/>
    <sheet name="Eastern Region Coverage Area" sheetId="5" r:id="rId4"/>
    <sheet name="Western Region_Coverage Area" sheetId="9" r:id="rId5"/>
    <sheet name="Central Region_Coverage Area" sheetId="11" r:id="rId6"/>
  </sheets>
  <definedNames>
    <definedName name="_xlnm._FilterDatabase" localSheetId="5" hidden="1">'Central Region_Coverage Area'!$A$10:$N$70</definedName>
    <definedName name="_xlnm._FilterDatabase" localSheetId="3" hidden="1">'Eastern Region Coverage Area'!$A$7:$M$197</definedName>
    <definedName name="_xlnm._FilterDatabase" localSheetId="2" hidden="1">'HUB LOCATION ANALYSIS USING COG'!$A$1:$I$15</definedName>
    <definedName name="_xlnm._FilterDatabase" localSheetId="0" hidden="1">MA_Cities!$A$1:$F$352</definedName>
    <definedName name="_xlnm._FilterDatabase" localSheetId="4" hidden="1">'Western Region_Coverage Area'!$A$120:$N$221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9" l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8" i="9"/>
  <c r="H12" i="11" l="1"/>
  <c r="J12" i="11" s="1"/>
  <c r="H13" i="11"/>
  <c r="J13" i="11" s="1"/>
  <c r="H14" i="11"/>
  <c r="J14" i="11" s="1"/>
  <c r="H15" i="11"/>
  <c r="J15" i="11" s="1"/>
  <c r="H16" i="11"/>
  <c r="J16" i="11" s="1"/>
  <c r="H17" i="11"/>
  <c r="J17" i="11" s="1"/>
  <c r="H18" i="11"/>
  <c r="J18" i="11" s="1"/>
  <c r="H19" i="11"/>
  <c r="J19" i="11" s="1"/>
  <c r="H20" i="11"/>
  <c r="J20" i="11" s="1"/>
  <c r="H21" i="11"/>
  <c r="J21" i="11" s="1"/>
  <c r="H22" i="11"/>
  <c r="J22" i="11" s="1"/>
  <c r="H23" i="11"/>
  <c r="J23" i="11" s="1"/>
  <c r="H24" i="11"/>
  <c r="J24" i="11" s="1"/>
  <c r="H25" i="11"/>
  <c r="J25" i="11" s="1"/>
  <c r="H26" i="11"/>
  <c r="J26" i="11" s="1"/>
  <c r="H27" i="11"/>
  <c r="J27" i="11" s="1"/>
  <c r="H28" i="11"/>
  <c r="J28" i="11" s="1"/>
  <c r="H29" i="11"/>
  <c r="J29" i="11" s="1"/>
  <c r="H30" i="11"/>
  <c r="J30" i="11" s="1"/>
  <c r="H31" i="11"/>
  <c r="J31" i="11" s="1"/>
  <c r="H32" i="11"/>
  <c r="J32" i="11" s="1"/>
  <c r="H33" i="11"/>
  <c r="J33" i="11" s="1"/>
  <c r="H34" i="11"/>
  <c r="J34" i="11" s="1"/>
  <c r="H35" i="11"/>
  <c r="J35" i="11" s="1"/>
  <c r="H36" i="11"/>
  <c r="J36" i="11" s="1"/>
  <c r="H37" i="11"/>
  <c r="J37" i="11" s="1"/>
  <c r="H38" i="11"/>
  <c r="J38" i="11" s="1"/>
  <c r="H39" i="11"/>
  <c r="J39" i="11" s="1"/>
  <c r="H40" i="11"/>
  <c r="J40" i="11" s="1"/>
  <c r="H41" i="11"/>
  <c r="J41" i="11" s="1"/>
  <c r="H42" i="11"/>
  <c r="J42" i="11" s="1"/>
  <c r="H43" i="11"/>
  <c r="J43" i="11" s="1"/>
  <c r="H44" i="11"/>
  <c r="J44" i="11" s="1"/>
  <c r="H45" i="11"/>
  <c r="J45" i="11" s="1"/>
  <c r="H46" i="11"/>
  <c r="J46" i="11" s="1"/>
  <c r="H47" i="11"/>
  <c r="J47" i="11" s="1"/>
  <c r="H48" i="11"/>
  <c r="J48" i="11" s="1"/>
  <c r="H49" i="11"/>
  <c r="J49" i="11" s="1"/>
  <c r="H50" i="11"/>
  <c r="J50" i="11" s="1"/>
  <c r="H51" i="11"/>
  <c r="J51" i="11" s="1"/>
  <c r="H52" i="11"/>
  <c r="J52" i="11" s="1"/>
  <c r="H53" i="11"/>
  <c r="J53" i="11" s="1"/>
  <c r="H54" i="11"/>
  <c r="J54" i="11" s="1"/>
  <c r="H55" i="11"/>
  <c r="J55" i="11" s="1"/>
  <c r="H56" i="11"/>
  <c r="J56" i="11" s="1"/>
  <c r="H57" i="11"/>
  <c r="J57" i="11" s="1"/>
  <c r="H58" i="11"/>
  <c r="J58" i="11" s="1"/>
  <c r="H59" i="11"/>
  <c r="J59" i="11" s="1"/>
  <c r="H60" i="11"/>
  <c r="J60" i="11" s="1"/>
  <c r="H61" i="11"/>
  <c r="J61" i="11" s="1"/>
  <c r="H62" i="11"/>
  <c r="J62" i="11" s="1"/>
  <c r="H63" i="11"/>
  <c r="J63" i="11" s="1"/>
  <c r="H64" i="11"/>
  <c r="J64" i="11" s="1"/>
  <c r="H65" i="11"/>
  <c r="J65" i="11" s="1"/>
  <c r="H66" i="11"/>
  <c r="J66" i="11" s="1"/>
  <c r="H67" i="11"/>
  <c r="J67" i="11" s="1"/>
  <c r="H68" i="11"/>
  <c r="J68" i="11" s="1"/>
  <c r="H69" i="11"/>
  <c r="J69" i="11" s="1"/>
  <c r="H70" i="11"/>
  <c r="J70" i="11" s="1"/>
  <c r="H11" i="11"/>
  <c r="J11" i="11" s="1"/>
  <c r="G12" i="11"/>
  <c r="I12" i="11" s="1"/>
  <c r="G13" i="11"/>
  <c r="I13" i="11" s="1"/>
  <c r="G14" i="11"/>
  <c r="I14" i="11" s="1"/>
  <c r="G15" i="11"/>
  <c r="I15" i="11" s="1"/>
  <c r="G16" i="11"/>
  <c r="I16" i="11" s="1"/>
  <c r="G17" i="11"/>
  <c r="I17" i="11" s="1"/>
  <c r="G18" i="11"/>
  <c r="I18" i="11" s="1"/>
  <c r="G19" i="11"/>
  <c r="I19" i="11" s="1"/>
  <c r="G20" i="11"/>
  <c r="I20" i="11" s="1"/>
  <c r="G21" i="11"/>
  <c r="I21" i="11" s="1"/>
  <c r="G22" i="11"/>
  <c r="I22" i="11" s="1"/>
  <c r="G23" i="11"/>
  <c r="I23" i="11" s="1"/>
  <c r="G24" i="11"/>
  <c r="I24" i="11" s="1"/>
  <c r="G25" i="11"/>
  <c r="I25" i="11" s="1"/>
  <c r="G26" i="11"/>
  <c r="I26" i="11" s="1"/>
  <c r="G27" i="11"/>
  <c r="I27" i="11" s="1"/>
  <c r="G28" i="11"/>
  <c r="I28" i="11" s="1"/>
  <c r="G29" i="11"/>
  <c r="I29" i="11" s="1"/>
  <c r="G30" i="11"/>
  <c r="I30" i="11" s="1"/>
  <c r="G31" i="11"/>
  <c r="I31" i="11" s="1"/>
  <c r="G32" i="11"/>
  <c r="I32" i="11" s="1"/>
  <c r="G33" i="11"/>
  <c r="I33" i="11" s="1"/>
  <c r="G34" i="11"/>
  <c r="I34" i="11" s="1"/>
  <c r="G35" i="11"/>
  <c r="I35" i="11" s="1"/>
  <c r="G36" i="11"/>
  <c r="I36" i="11" s="1"/>
  <c r="G37" i="11"/>
  <c r="I37" i="11" s="1"/>
  <c r="G38" i="11"/>
  <c r="I38" i="11" s="1"/>
  <c r="G39" i="11"/>
  <c r="I39" i="11" s="1"/>
  <c r="G40" i="11"/>
  <c r="I40" i="11" s="1"/>
  <c r="G41" i="11"/>
  <c r="I41" i="11" s="1"/>
  <c r="G42" i="11"/>
  <c r="I42" i="11" s="1"/>
  <c r="G43" i="11"/>
  <c r="I43" i="11" s="1"/>
  <c r="G44" i="11"/>
  <c r="I44" i="11" s="1"/>
  <c r="G45" i="11"/>
  <c r="I45" i="11" s="1"/>
  <c r="G46" i="11"/>
  <c r="I46" i="11" s="1"/>
  <c r="G47" i="11"/>
  <c r="I47" i="11" s="1"/>
  <c r="G48" i="11"/>
  <c r="I48" i="11" s="1"/>
  <c r="G49" i="11"/>
  <c r="I49" i="11" s="1"/>
  <c r="G50" i="11"/>
  <c r="I50" i="11" s="1"/>
  <c r="G51" i="11"/>
  <c r="I51" i="11" s="1"/>
  <c r="G52" i="11"/>
  <c r="I52" i="11" s="1"/>
  <c r="G53" i="11"/>
  <c r="I53" i="11" s="1"/>
  <c r="G54" i="11"/>
  <c r="I54" i="11" s="1"/>
  <c r="G55" i="11"/>
  <c r="I55" i="11" s="1"/>
  <c r="G56" i="11"/>
  <c r="I56" i="11" s="1"/>
  <c r="G57" i="11"/>
  <c r="I57" i="11" s="1"/>
  <c r="G58" i="11"/>
  <c r="I58" i="11" s="1"/>
  <c r="G59" i="11"/>
  <c r="I59" i="11" s="1"/>
  <c r="G60" i="11"/>
  <c r="I60" i="11" s="1"/>
  <c r="G61" i="11"/>
  <c r="I61" i="11" s="1"/>
  <c r="G62" i="11"/>
  <c r="I62" i="11" s="1"/>
  <c r="G63" i="11"/>
  <c r="I63" i="11" s="1"/>
  <c r="G64" i="11"/>
  <c r="I64" i="11" s="1"/>
  <c r="G65" i="11"/>
  <c r="I65" i="11" s="1"/>
  <c r="G66" i="11"/>
  <c r="I66" i="11" s="1"/>
  <c r="G67" i="11"/>
  <c r="I67" i="11" s="1"/>
  <c r="G68" i="11"/>
  <c r="I68" i="11" s="1"/>
  <c r="G69" i="11"/>
  <c r="I69" i="11" s="1"/>
  <c r="G70" i="11"/>
  <c r="I70" i="11" s="1"/>
  <c r="G11" i="11"/>
  <c r="I11" i="11" s="1"/>
  <c r="H122" i="9"/>
  <c r="J122" i="9" s="1"/>
  <c r="H123" i="9"/>
  <c r="J123" i="9" s="1"/>
  <c r="H124" i="9"/>
  <c r="J124" i="9" s="1"/>
  <c r="H125" i="9"/>
  <c r="J125" i="9" s="1"/>
  <c r="H126" i="9"/>
  <c r="J126" i="9" s="1"/>
  <c r="H127" i="9"/>
  <c r="J127" i="9" s="1"/>
  <c r="H128" i="9"/>
  <c r="J128" i="9" s="1"/>
  <c r="H129" i="9"/>
  <c r="J129" i="9" s="1"/>
  <c r="H130" i="9"/>
  <c r="J130" i="9" s="1"/>
  <c r="H131" i="9"/>
  <c r="J131" i="9" s="1"/>
  <c r="H132" i="9"/>
  <c r="J132" i="9" s="1"/>
  <c r="H133" i="9"/>
  <c r="J133" i="9" s="1"/>
  <c r="H134" i="9"/>
  <c r="J134" i="9" s="1"/>
  <c r="H135" i="9"/>
  <c r="J135" i="9" s="1"/>
  <c r="H136" i="9"/>
  <c r="H137" i="9"/>
  <c r="H138" i="9"/>
  <c r="J138" i="9" s="1"/>
  <c r="H139" i="9"/>
  <c r="J139" i="9" s="1"/>
  <c r="H140" i="9"/>
  <c r="J140" i="9" s="1"/>
  <c r="H141" i="9"/>
  <c r="J141" i="9" s="1"/>
  <c r="H142" i="9"/>
  <c r="J142" i="9" s="1"/>
  <c r="H143" i="9"/>
  <c r="J143" i="9" s="1"/>
  <c r="H144" i="9"/>
  <c r="J144" i="9" s="1"/>
  <c r="H145" i="9"/>
  <c r="J145" i="9" s="1"/>
  <c r="H146" i="9"/>
  <c r="J146" i="9" s="1"/>
  <c r="H147" i="9"/>
  <c r="J147" i="9" s="1"/>
  <c r="H148" i="9"/>
  <c r="J148" i="9" s="1"/>
  <c r="H149" i="9"/>
  <c r="J149" i="9" s="1"/>
  <c r="H150" i="9"/>
  <c r="J150" i="9" s="1"/>
  <c r="H151" i="9"/>
  <c r="J151" i="9" s="1"/>
  <c r="H152" i="9"/>
  <c r="J152" i="9" s="1"/>
  <c r="H153" i="9"/>
  <c r="J153" i="9" s="1"/>
  <c r="H154" i="9"/>
  <c r="J154" i="9" s="1"/>
  <c r="H155" i="9"/>
  <c r="H156" i="9"/>
  <c r="J156" i="9" s="1"/>
  <c r="H157" i="9"/>
  <c r="J157" i="9" s="1"/>
  <c r="H158" i="9"/>
  <c r="J158" i="9" s="1"/>
  <c r="H159" i="9"/>
  <c r="J159" i="9" s="1"/>
  <c r="H160" i="9"/>
  <c r="J160" i="9" s="1"/>
  <c r="H161" i="9"/>
  <c r="J161" i="9" s="1"/>
  <c r="H162" i="9"/>
  <c r="J162" i="9" s="1"/>
  <c r="H163" i="9"/>
  <c r="J163" i="9" s="1"/>
  <c r="H164" i="9"/>
  <c r="J164" i="9" s="1"/>
  <c r="H165" i="9"/>
  <c r="J165" i="9" s="1"/>
  <c r="H166" i="9"/>
  <c r="J166" i="9" s="1"/>
  <c r="H167" i="9"/>
  <c r="J167" i="9" s="1"/>
  <c r="H168" i="9"/>
  <c r="J168" i="9" s="1"/>
  <c r="H169" i="9"/>
  <c r="J169" i="9" s="1"/>
  <c r="H170" i="9"/>
  <c r="J170" i="9" s="1"/>
  <c r="H171" i="9"/>
  <c r="J171" i="9" s="1"/>
  <c r="H172" i="9"/>
  <c r="J172" i="9" s="1"/>
  <c r="H173" i="9"/>
  <c r="J173" i="9" s="1"/>
  <c r="H174" i="9"/>
  <c r="J174" i="9" s="1"/>
  <c r="H175" i="9"/>
  <c r="J175" i="9" s="1"/>
  <c r="H176" i="9"/>
  <c r="J176" i="9" s="1"/>
  <c r="H177" i="9"/>
  <c r="J177" i="9" s="1"/>
  <c r="H178" i="9"/>
  <c r="J178" i="9" s="1"/>
  <c r="H179" i="9"/>
  <c r="J179" i="9" s="1"/>
  <c r="H180" i="9"/>
  <c r="H181" i="9"/>
  <c r="J181" i="9" s="1"/>
  <c r="H182" i="9"/>
  <c r="J182" i="9" s="1"/>
  <c r="H183" i="9"/>
  <c r="J183" i="9" s="1"/>
  <c r="H184" i="9"/>
  <c r="J184" i="9" s="1"/>
  <c r="H185" i="9"/>
  <c r="J185" i="9" s="1"/>
  <c r="H186" i="9"/>
  <c r="J186" i="9" s="1"/>
  <c r="H187" i="9"/>
  <c r="J187" i="9" s="1"/>
  <c r="H188" i="9"/>
  <c r="J188" i="9" s="1"/>
  <c r="H189" i="9"/>
  <c r="J189" i="9" s="1"/>
  <c r="H190" i="9"/>
  <c r="J190" i="9" s="1"/>
  <c r="H191" i="9"/>
  <c r="J191" i="9" s="1"/>
  <c r="H192" i="9"/>
  <c r="J192" i="9" s="1"/>
  <c r="H193" i="9"/>
  <c r="J193" i="9" s="1"/>
  <c r="H194" i="9"/>
  <c r="J194" i="9" s="1"/>
  <c r="H195" i="9"/>
  <c r="J195" i="9" s="1"/>
  <c r="H196" i="9"/>
  <c r="J196" i="9" s="1"/>
  <c r="H197" i="9"/>
  <c r="J197" i="9" s="1"/>
  <c r="H198" i="9"/>
  <c r="J198" i="9" s="1"/>
  <c r="H199" i="9"/>
  <c r="J199" i="9" s="1"/>
  <c r="H200" i="9"/>
  <c r="J200" i="9" s="1"/>
  <c r="H201" i="9"/>
  <c r="J201" i="9" s="1"/>
  <c r="H202" i="9"/>
  <c r="J202" i="9" s="1"/>
  <c r="H203" i="9"/>
  <c r="J203" i="9" s="1"/>
  <c r="H204" i="9"/>
  <c r="J204" i="9" s="1"/>
  <c r="H205" i="9"/>
  <c r="J205" i="9" s="1"/>
  <c r="H206" i="9"/>
  <c r="J206" i="9" s="1"/>
  <c r="H207" i="9"/>
  <c r="J207" i="9" s="1"/>
  <c r="H208" i="9"/>
  <c r="J208" i="9" s="1"/>
  <c r="H209" i="9"/>
  <c r="J209" i="9" s="1"/>
  <c r="H210" i="9"/>
  <c r="J210" i="9" s="1"/>
  <c r="H211" i="9"/>
  <c r="J211" i="9" s="1"/>
  <c r="H212" i="9"/>
  <c r="J212" i="9" s="1"/>
  <c r="H213" i="9"/>
  <c r="J213" i="9" s="1"/>
  <c r="H214" i="9"/>
  <c r="J214" i="9" s="1"/>
  <c r="H215" i="9"/>
  <c r="J215" i="9" s="1"/>
  <c r="H216" i="9"/>
  <c r="J216" i="9" s="1"/>
  <c r="H217" i="9"/>
  <c r="J217" i="9" s="1"/>
  <c r="H218" i="9"/>
  <c r="J218" i="9" s="1"/>
  <c r="H219" i="9"/>
  <c r="J219" i="9" s="1"/>
  <c r="H220" i="9"/>
  <c r="J220" i="9" s="1"/>
  <c r="H221" i="9"/>
  <c r="J221" i="9" s="1"/>
  <c r="H121" i="9"/>
  <c r="J121" i="9" s="1"/>
  <c r="G122" i="9"/>
  <c r="I122" i="9" s="1"/>
  <c r="G123" i="9"/>
  <c r="I123" i="9" s="1"/>
  <c r="G124" i="9"/>
  <c r="I124" i="9" s="1"/>
  <c r="G125" i="9"/>
  <c r="I125" i="9" s="1"/>
  <c r="G126" i="9"/>
  <c r="I126" i="9" s="1"/>
  <c r="G127" i="9"/>
  <c r="I127" i="9" s="1"/>
  <c r="G128" i="9"/>
  <c r="I128" i="9" s="1"/>
  <c r="G129" i="9"/>
  <c r="I129" i="9" s="1"/>
  <c r="G130" i="9"/>
  <c r="I130" i="9" s="1"/>
  <c r="G131" i="9"/>
  <c r="I131" i="9" s="1"/>
  <c r="G132" i="9"/>
  <c r="I132" i="9" s="1"/>
  <c r="G133" i="9"/>
  <c r="I133" i="9" s="1"/>
  <c r="G134" i="9"/>
  <c r="I134" i="9" s="1"/>
  <c r="G135" i="9"/>
  <c r="I135" i="9" s="1"/>
  <c r="G136" i="9"/>
  <c r="I136" i="9" s="1"/>
  <c r="G137" i="9"/>
  <c r="I137" i="9" s="1"/>
  <c r="G138" i="9"/>
  <c r="I138" i="9" s="1"/>
  <c r="G139" i="9"/>
  <c r="I139" i="9" s="1"/>
  <c r="G140" i="9"/>
  <c r="I140" i="9" s="1"/>
  <c r="G141" i="9"/>
  <c r="I141" i="9" s="1"/>
  <c r="G142" i="9"/>
  <c r="G143" i="9"/>
  <c r="I143" i="9" s="1"/>
  <c r="G144" i="9"/>
  <c r="I144" i="9" s="1"/>
  <c r="G145" i="9"/>
  <c r="I145" i="9" s="1"/>
  <c r="G146" i="9"/>
  <c r="I146" i="9" s="1"/>
  <c r="G147" i="9"/>
  <c r="I147" i="9" s="1"/>
  <c r="G148" i="9"/>
  <c r="I148" i="9" s="1"/>
  <c r="G149" i="9"/>
  <c r="I149" i="9" s="1"/>
  <c r="G150" i="9"/>
  <c r="I150" i="9" s="1"/>
  <c r="G151" i="9"/>
  <c r="I151" i="9" s="1"/>
  <c r="G152" i="9"/>
  <c r="I152" i="9" s="1"/>
  <c r="G153" i="9"/>
  <c r="I153" i="9" s="1"/>
  <c r="G154" i="9"/>
  <c r="I154" i="9" s="1"/>
  <c r="G155" i="9"/>
  <c r="I155" i="9" s="1"/>
  <c r="G156" i="9"/>
  <c r="I156" i="9" s="1"/>
  <c r="G157" i="9"/>
  <c r="I157" i="9" s="1"/>
  <c r="G158" i="9"/>
  <c r="I158" i="9" s="1"/>
  <c r="G159" i="9"/>
  <c r="I159" i="9" s="1"/>
  <c r="G160" i="9"/>
  <c r="I160" i="9" s="1"/>
  <c r="G161" i="9"/>
  <c r="I161" i="9" s="1"/>
  <c r="G162" i="9"/>
  <c r="I162" i="9" s="1"/>
  <c r="G163" i="9"/>
  <c r="I163" i="9" s="1"/>
  <c r="G164" i="9"/>
  <c r="I164" i="9" s="1"/>
  <c r="G165" i="9"/>
  <c r="I165" i="9" s="1"/>
  <c r="G166" i="9"/>
  <c r="I166" i="9" s="1"/>
  <c r="G167" i="9"/>
  <c r="I167" i="9" s="1"/>
  <c r="G168" i="9"/>
  <c r="I168" i="9" s="1"/>
  <c r="G169" i="9"/>
  <c r="I169" i="9" s="1"/>
  <c r="G170" i="9"/>
  <c r="I170" i="9" s="1"/>
  <c r="G171" i="9"/>
  <c r="I171" i="9" s="1"/>
  <c r="G172" i="9"/>
  <c r="I172" i="9" s="1"/>
  <c r="G173" i="9"/>
  <c r="I173" i="9" s="1"/>
  <c r="G174" i="9"/>
  <c r="I174" i="9" s="1"/>
  <c r="G175" i="9"/>
  <c r="I175" i="9" s="1"/>
  <c r="G176" i="9"/>
  <c r="I176" i="9" s="1"/>
  <c r="G177" i="9"/>
  <c r="I177" i="9" s="1"/>
  <c r="K177" i="9" s="1"/>
  <c r="N177" i="9" s="1"/>
  <c r="G178" i="9"/>
  <c r="I178" i="9" s="1"/>
  <c r="G179" i="9"/>
  <c r="I179" i="9" s="1"/>
  <c r="G180" i="9"/>
  <c r="I180" i="9" s="1"/>
  <c r="G181" i="9"/>
  <c r="I181" i="9" s="1"/>
  <c r="G182" i="9"/>
  <c r="I182" i="9" s="1"/>
  <c r="G183" i="9"/>
  <c r="I183" i="9" s="1"/>
  <c r="G184" i="9"/>
  <c r="I184" i="9" s="1"/>
  <c r="G185" i="9"/>
  <c r="I185" i="9" s="1"/>
  <c r="G186" i="9"/>
  <c r="I186" i="9" s="1"/>
  <c r="G187" i="9"/>
  <c r="I187" i="9" s="1"/>
  <c r="G188" i="9"/>
  <c r="I188" i="9" s="1"/>
  <c r="G189" i="9"/>
  <c r="I189" i="9" s="1"/>
  <c r="G190" i="9"/>
  <c r="I190" i="9" s="1"/>
  <c r="G191" i="9"/>
  <c r="I191" i="9" s="1"/>
  <c r="G192" i="9"/>
  <c r="I192" i="9" s="1"/>
  <c r="G193" i="9"/>
  <c r="I193" i="9" s="1"/>
  <c r="G194" i="9"/>
  <c r="I194" i="9" s="1"/>
  <c r="G195" i="9"/>
  <c r="I195" i="9" s="1"/>
  <c r="G196" i="9"/>
  <c r="I196" i="9" s="1"/>
  <c r="G197" i="9"/>
  <c r="I197" i="9" s="1"/>
  <c r="G198" i="9"/>
  <c r="I198" i="9" s="1"/>
  <c r="G199" i="9"/>
  <c r="I199" i="9" s="1"/>
  <c r="G200" i="9"/>
  <c r="I200" i="9" s="1"/>
  <c r="G201" i="9"/>
  <c r="I201" i="9" s="1"/>
  <c r="G202" i="9"/>
  <c r="I202" i="9" s="1"/>
  <c r="G203" i="9"/>
  <c r="I203" i="9" s="1"/>
  <c r="G204" i="9"/>
  <c r="I204" i="9" s="1"/>
  <c r="G205" i="9"/>
  <c r="I205" i="9" s="1"/>
  <c r="G206" i="9"/>
  <c r="I206" i="9" s="1"/>
  <c r="G207" i="9"/>
  <c r="I207" i="9" s="1"/>
  <c r="G208" i="9"/>
  <c r="I208" i="9" s="1"/>
  <c r="G209" i="9"/>
  <c r="I209" i="9" s="1"/>
  <c r="G210" i="9"/>
  <c r="I210" i="9" s="1"/>
  <c r="G211" i="9"/>
  <c r="I211" i="9" s="1"/>
  <c r="G212" i="9"/>
  <c r="I212" i="9" s="1"/>
  <c r="G213" i="9"/>
  <c r="I213" i="9" s="1"/>
  <c r="G214" i="9"/>
  <c r="I214" i="9" s="1"/>
  <c r="G215" i="9"/>
  <c r="I215" i="9" s="1"/>
  <c r="G216" i="9"/>
  <c r="I216" i="9" s="1"/>
  <c r="G217" i="9"/>
  <c r="I217" i="9" s="1"/>
  <c r="G218" i="9"/>
  <c r="G219" i="9"/>
  <c r="G220" i="9"/>
  <c r="G221" i="9"/>
  <c r="G121" i="9"/>
  <c r="I121" i="9" s="1"/>
  <c r="I221" i="9"/>
  <c r="I220" i="9"/>
  <c r="I219" i="9"/>
  <c r="I218" i="9"/>
  <c r="J180" i="9"/>
  <c r="J155" i="9"/>
  <c r="I142" i="9"/>
  <c r="J137" i="9"/>
  <c r="J136" i="9"/>
  <c r="H16" i="9"/>
  <c r="J16" i="9" s="1"/>
  <c r="H100" i="9"/>
  <c r="J100" i="9" s="1"/>
  <c r="H11" i="9"/>
  <c r="J11" i="9" s="1"/>
  <c r="H63" i="9"/>
  <c r="J63" i="9" s="1"/>
  <c r="H55" i="9"/>
  <c r="J55" i="9" s="1"/>
  <c r="H23" i="9"/>
  <c r="J23" i="9" s="1"/>
  <c r="H52" i="9"/>
  <c r="J52" i="9" s="1"/>
  <c r="H79" i="9"/>
  <c r="J79" i="9" s="1"/>
  <c r="H43" i="9"/>
  <c r="J43" i="9" s="1"/>
  <c r="H60" i="9"/>
  <c r="J60" i="9" s="1"/>
  <c r="H81" i="9"/>
  <c r="J81" i="9" s="1"/>
  <c r="H47" i="9"/>
  <c r="J47" i="9" s="1"/>
  <c r="H78" i="9"/>
  <c r="J78" i="9" s="1"/>
  <c r="H82" i="9"/>
  <c r="J82" i="9" s="1"/>
  <c r="H9" i="9"/>
  <c r="J9" i="9" s="1"/>
  <c r="H67" i="9"/>
  <c r="J67" i="9" s="1"/>
  <c r="H65" i="9"/>
  <c r="J65" i="9" s="1"/>
  <c r="H61" i="9"/>
  <c r="J61" i="9" s="1"/>
  <c r="H89" i="9"/>
  <c r="J89" i="9" s="1"/>
  <c r="H35" i="9"/>
  <c r="J35" i="9" s="1"/>
  <c r="H40" i="9"/>
  <c r="J40" i="9" s="1"/>
  <c r="H20" i="9"/>
  <c r="J20" i="9" s="1"/>
  <c r="H21" i="9"/>
  <c r="J21" i="9" s="1"/>
  <c r="H75" i="9"/>
  <c r="J75" i="9" s="1"/>
  <c r="H64" i="9"/>
  <c r="J64" i="9" s="1"/>
  <c r="H96" i="9"/>
  <c r="J96" i="9" s="1"/>
  <c r="H71" i="9"/>
  <c r="J71" i="9" s="1"/>
  <c r="H86" i="9"/>
  <c r="J86" i="9" s="1"/>
  <c r="H37" i="9"/>
  <c r="J37" i="9" s="1"/>
  <c r="H72" i="9"/>
  <c r="J72" i="9" s="1"/>
  <c r="H34" i="9"/>
  <c r="J34" i="9" s="1"/>
  <c r="H19" i="9"/>
  <c r="J19" i="9" s="1"/>
  <c r="H39" i="9"/>
  <c r="J39" i="9" s="1"/>
  <c r="H42" i="9"/>
  <c r="J42" i="9" s="1"/>
  <c r="H93" i="9"/>
  <c r="J93" i="9" s="1"/>
  <c r="H46" i="9"/>
  <c r="J46" i="9" s="1"/>
  <c r="H105" i="9"/>
  <c r="J105" i="9" s="1"/>
  <c r="H95" i="9"/>
  <c r="J95" i="9" s="1"/>
  <c r="H56" i="9"/>
  <c r="J56" i="9" s="1"/>
  <c r="H50" i="9"/>
  <c r="J50" i="9" s="1"/>
  <c r="H13" i="9"/>
  <c r="J13" i="9" s="1"/>
  <c r="H53" i="9"/>
  <c r="J53" i="9" s="1"/>
  <c r="H48" i="9"/>
  <c r="J48" i="9" s="1"/>
  <c r="H38" i="9"/>
  <c r="J38" i="9" s="1"/>
  <c r="H41" i="9"/>
  <c r="J41" i="9" s="1"/>
  <c r="H58" i="9"/>
  <c r="J58" i="9" s="1"/>
  <c r="H94" i="9"/>
  <c r="J94" i="9" s="1"/>
  <c r="H22" i="9"/>
  <c r="J22" i="9" s="1"/>
  <c r="H17" i="9"/>
  <c r="J17" i="9" s="1"/>
  <c r="H104" i="9"/>
  <c r="J104" i="9" s="1"/>
  <c r="H108" i="9"/>
  <c r="J108" i="9" s="1"/>
  <c r="H31" i="9"/>
  <c r="J31" i="9" s="1"/>
  <c r="H30" i="9"/>
  <c r="J30" i="9" s="1"/>
  <c r="H83" i="9"/>
  <c r="J83" i="9" s="1"/>
  <c r="H88" i="9"/>
  <c r="J88" i="9" s="1"/>
  <c r="H107" i="9"/>
  <c r="J107" i="9" s="1"/>
  <c r="H106" i="9"/>
  <c r="J106" i="9" s="1"/>
  <c r="H73" i="9"/>
  <c r="J73" i="9" s="1"/>
  <c r="H84" i="9"/>
  <c r="J84" i="9" s="1"/>
  <c r="H25" i="9"/>
  <c r="J25" i="9" s="1"/>
  <c r="H14" i="9"/>
  <c r="J14" i="9" s="1"/>
  <c r="H49" i="9"/>
  <c r="J49" i="9" s="1"/>
  <c r="H33" i="9"/>
  <c r="J33" i="9" s="1"/>
  <c r="H70" i="9"/>
  <c r="J70" i="9" s="1"/>
  <c r="H26" i="9"/>
  <c r="J26" i="9" s="1"/>
  <c r="H76" i="9"/>
  <c r="J76" i="9" s="1"/>
  <c r="H91" i="9"/>
  <c r="J91" i="9" s="1"/>
  <c r="H10" i="9"/>
  <c r="J10" i="9" s="1"/>
  <c r="H98" i="9"/>
  <c r="J98" i="9" s="1"/>
  <c r="H74" i="9"/>
  <c r="J74" i="9" s="1"/>
  <c r="H102" i="9"/>
  <c r="J102" i="9" s="1"/>
  <c r="H66" i="9"/>
  <c r="J66" i="9" s="1"/>
  <c r="H85" i="9"/>
  <c r="J85" i="9" s="1"/>
  <c r="H97" i="9"/>
  <c r="J97" i="9" s="1"/>
  <c r="H45" i="9"/>
  <c r="J45" i="9" s="1"/>
  <c r="H57" i="9"/>
  <c r="J57" i="9" s="1"/>
  <c r="H62" i="9"/>
  <c r="J62" i="9" s="1"/>
  <c r="H18" i="9"/>
  <c r="J18" i="9" s="1"/>
  <c r="H36" i="9"/>
  <c r="J36" i="9" s="1"/>
  <c r="H28" i="9"/>
  <c r="J28" i="9" s="1"/>
  <c r="H8" i="9"/>
  <c r="J8" i="9" s="1"/>
  <c r="H54" i="9"/>
  <c r="J54" i="9" s="1"/>
  <c r="H44" i="9"/>
  <c r="J44" i="9" s="1"/>
  <c r="H101" i="9"/>
  <c r="J101" i="9" s="1"/>
  <c r="H103" i="9"/>
  <c r="J103" i="9" s="1"/>
  <c r="H59" i="9"/>
  <c r="J59" i="9" s="1"/>
  <c r="H27" i="9"/>
  <c r="J27" i="9" s="1"/>
  <c r="H92" i="9"/>
  <c r="J92" i="9" s="1"/>
  <c r="H99" i="9"/>
  <c r="J99" i="9" s="1"/>
  <c r="H87" i="9"/>
  <c r="J87" i="9" s="1"/>
  <c r="H15" i="9"/>
  <c r="J15" i="9" s="1"/>
  <c r="H77" i="9"/>
  <c r="J77" i="9" s="1"/>
  <c r="H12" i="9"/>
  <c r="J12" i="9" s="1"/>
  <c r="H68" i="9"/>
  <c r="J68" i="9" s="1"/>
  <c r="H69" i="9"/>
  <c r="J69" i="9" s="1"/>
  <c r="H24" i="9"/>
  <c r="J24" i="9" s="1"/>
  <c r="H51" i="9"/>
  <c r="J51" i="9" s="1"/>
  <c r="H29" i="9"/>
  <c r="J29" i="9" s="1"/>
  <c r="H90" i="9"/>
  <c r="J90" i="9" s="1"/>
  <c r="H80" i="9"/>
  <c r="J80" i="9" s="1"/>
  <c r="H32" i="9"/>
  <c r="J32" i="9" s="1"/>
  <c r="G16" i="9"/>
  <c r="I16" i="9" s="1"/>
  <c r="G100" i="9"/>
  <c r="I100" i="9" s="1"/>
  <c r="G11" i="9"/>
  <c r="I11" i="9" s="1"/>
  <c r="G63" i="9"/>
  <c r="I63" i="9" s="1"/>
  <c r="G55" i="9"/>
  <c r="I55" i="9" s="1"/>
  <c r="G23" i="9"/>
  <c r="I23" i="9" s="1"/>
  <c r="G52" i="9"/>
  <c r="I52" i="9" s="1"/>
  <c r="G79" i="9"/>
  <c r="I79" i="9" s="1"/>
  <c r="G43" i="9"/>
  <c r="I43" i="9" s="1"/>
  <c r="G60" i="9"/>
  <c r="I60" i="9" s="1"/>
  <c r="G81" i="9"/>
  <c r="I81" i="9" s="1"/>
  <c r="G47" i="9"/>
  <c r="I47" i="9" s="1"/>
  <c r="G78" i="9"/>
  <c r="I78" i="9" s="1"/>
  <c r="G82" i="9"/>
  <c r="I82" i="9" s="1"/>
  <c r="G9" i="9"/>
  <c r="I9" i="9" s="1"/>
  <c r="G67" i="9"/>
  <c r="I67" i="9" s="1"/>
  <c r="G65" i="9"/>
  <c r="I65" i="9" s="1"/>
  <c r="G61" i="9"/>
  <c r="I61" i="9" s="1"/>
  <c r="G89" i="9"/>
  <c r="I89" i="9" s="1"/>
  <c r="G35" i="9"/>
  <c r="I35" i="9" s="1"/>
  <c r="G40" i="9"/>
  <c r="I40" i="9" s="1"/>
  <c r="G20" i="9"/>
  <c r="I20" i="9" s="1"/>
  <c r="G21" i="9"/>
  <c r="I21" i="9" s="1"/>
  <c r="G75" i="9"/>
  <c r="I75" i="9" s="1"/>
  <c r="G64" i="9"/>
  <c r="I64" i="9" s="1"/>
  <c r="G96" i="9"/>
  <c r="I96" i="9" s="1"/>
  <c r="G71" i="9"/>
  <c r="I71" i="9" s="1"/>
  <c r="G86" i="9"/>
  <c r="I86" i="9" s="1"/>
  <c r="G37" i="9"/>
  <c r="I37" i="9" s="1"/>
  <c r="G72" i="9"/>
  <c r="I72" i="9" s="1"/>
  <c r="G34" i="9"/>
  <c r="I34" i="9" s="1"/>
  <c r="G19" i="9"/>
  <c r="I19" i="9" s="1"/>
  <c r="G39" i="9"/>
  <c r="I39" i="9" s="1"/>
  <c r="G42" i="9"/>
  <c r="I42" i="9" s="1"/>
  <c r="G93" i="9"/>
  <c r="I93" i="9" s="1"/>
  <c r="G46" i="9"/>
  <c r="I46" i="9" s="1"/>
  <c r="G105" i="9"/>
  <c r="I105" i="9" s="1"/>
  <c r="G95" i="9"/>
  <c r="I95" i="9" s="1"/>
  <c r="G56" i="9"/>
  <c r="I56" i="9" s="1"/>
  <c r="G50" i="9"/>
  <c r="I50" i="9" s="1"/>
  <c r="G13" i="9"/>
  <c r="I13" i="9" s="1"/>
  <c r="G53" i="9"/>
  <c r="I53" i="9" s="1"/>
  <c r="G48" i="9"/>
  <c r="I48" i="9" s="1"/>
  <c r="G38" i="9"/>
  <c r="I38" i="9" s="1"/>
  <c r="G41" i="9"/>
  <c r="I41" i="9" s="1"/>
  <c r="G58" i="9"/>
  <c r="I58" i="9" s="1"/>
  <c r="G94" i="9"/>
  <c r="I94" i="9" s="1"/>
  <c r="G22" i="9"/>
  <c r="I22" i="9" s="1"/>
  <c r="G17" i="9"/>
  <c r="I17" i="9" s="1"/>
  <c r="G104" i="9"/>
  <c r="I104" i="9" s="1"/>
  <c r="G108" i="9"/>
  <c r="I108" i="9" s="1"/>
  <c r="G31" i="9"/>
  <c r="I31" i="9" s="1"/>
  <c r="G30" i="9"/>
  <c r="I30" i="9" s="1"/>
  <c r="G83" i="9"/>
  <c r="I83" i="9" s="1"/>
  <c r="G88" i="9"/>
  <c r="I88" i="9" s="1"/>
  <c r="G107" i="9"/>
  <c r="I107" i="9" s="1"/>
  <c r="G106" i="9"/>
  <c r="I106" i="9" s="1"/>
  <c r="G73" i="9"/>
  <c r="I73" i="9" s="1"/>
  <c r="G84" i="9"/>
  <c r="I84" i="9" s="1"/>
  <c r="G25" i="9"/>
  <c r="I25" i="9" s="1"/>
  <c r="G14" i="9"/>
  <c r="I14" i="9" s="1"/>
  <c r="G49" i="9"/>
  <c r="I49" i="9" s="1"/>
  <c r="G33" i="9"/>
  <c r="I33" i="9" s="1"/>
  <c r="G70" i="9"/>
  <c r="I70" i="9" s="1"/>
  <c r="G26" i="9"/>
  <c r="I26" i="9" s="1"/>
  <c r="G76" i="9"/>
  <c r="I76" i="9" s="1"/>
  <c r="G91" i="9"/>
  <c r="I91" i="9" s="1"/>
  <c r="G10" i="9"/>
  <c r="I10" i="9" s="1"/>
  <c r="G98" i="9"/>
  <c r="I98" i="9" s="1"/>
  <c r="G74" i="9"/>
  <c r="I74" i="9" s="1"/>
  <c r="G102" i="9"/>
  <c r="I102" i="9" s="1"/>
  <c r="G66" i="9"/>
  <c r="I66" i="9" s="1"/>
  <c r="G85" i="9"/>
  <c r="I85" i="9" s="1"/>
  <c r="G97" i="9"/>
  <c r="I97" i="9" s="1"/>
  <c r="G45" i="9"/>
  <c r="I45" i="9" s="1"/>
  <c r="G57" i="9"/>
  <c r="I57" i="9" s="1"/>
  <c r="G62" i="9"/>
  <c r="I62" i="9" s="1"/>
  <c r="G18" i="9"/>
  <c r="I18" i="9" s="1"/>
  <c r="G36" i="9"/>
  <c r="I36" i="9" s="1"/>
  <c r="G28" i="9"/>
  <c r="I28" i="9" s="1"/>
  <c r="G8" i="9"/>
  <c r="I8" i="9" s="1"/>
  <c r="G54" i="9"/>
  <c r="I54" i="9" s="1"/>
  <c r="G44" i="9"/>
  <c r="I44" i="9" s="1"/>
  <c r="G101" i="9"/>
  <c r="I101" i="9" s="1"/>
  <c r="G103" i="9"/>
  <c r="I103" i="9" s="1"/>
  <c r="G59" i="9"/>
  <c r="I59" i="9" s="1"/>
  <c r="G27" i="9"/>
  <c r="I27" i="9" s="1"/>
  <c r="G92" i="9"/>
  <c r="I92" i="9" s="1"/>
  <c r="G99" i="9"/>
  <c r="I99" i="9" s="1"/>
  <c r="G87" i="9"/>
  <c r="I87" i="9" s="1"/>
  <c r="G15" i="9"/>
  <c r="I15" i="9" s="1"/>
  <c r="G77" i="9"/>
  <c r="I77" i="9" s="1"/>
  <c r="G12" i="9"/>
  <c r="I12" i="9" s="1"/>
  <c r="G68" i="9"/>
  <c r="I68" i="9" s="1"/>
  <c r="G69" i="9"/>
  <c r="I69" i="9" s="1"/>
  <c r="G24" i="9"/>
  <c r="I24" i="9" s="1"/>
  <c r="G51" i="9"/>
  <c r="I51" i="9" s="1"/>
  <c r="G29" i="9"/>
  <c r="I29" i="9" s="1"/>
  <c r="G90" i="9"/>
  <c r="I90" i="9" s="1"/>
  <c r="G80" i="9"/>
  <c r="I80" i="9" s="1"/>
  <c r="G32" i="9"/>
  <c r="I32" i="9" s="1"/>
  <c r="G9" i="5"/>
  <c r="I9" i="5" s="1"/>
  <c r="G10" i="5"/>
  <c r="I10" i="5" s="1"/>
  <c r="G11" i="5"/>
  <c r="I11" i="5" s="1"/>
  <c r="G12" i="5"/>
  <c r="I12" i="5" s="1"/>
  <c r="G13" i="5"/>
  <c r="I13" i="5" s="1"/>
  <c r="G14" i="5"/>
  <c r="I14" i="5" s="1"/>
  <c r="G15" i="5"/>
  <c r="I15" i="5" s="1"/>
  <c r="G16" i="5"/>
  <c r="I16" i="5" s="1"/>
  <c r="G17" i="5"/>
  <c r="I17" i="5" s="1"/>
  <c r="G18" i="5"/>
  <c r="I18" i="5" s="1"/>
  <c r="G19" i="5"/>
  <c r="I19" i="5" s="1"/>
  <c r="G20" i="5"/>
  <c r="I20" i="5" s="1"/>
  <c r="G21" i="5"/>
  <c r="I21" i="5" s="1"/>
  <c r="G22" i="5"/>
  <c r="I22" i="5" s="1"/>
  <c r="G23" i="5"/>
  <c r="I23" i="5" s="1"/>
  <c r="G24" i="5"/>
  <c r="I24" i="5" s="1"/>
  <c r="G25" i="5"/>
  <c r="I25" i="5" s="1"/>
  <c r="G26" i="5"/>
  <c r="I26" i="5" s="1"/>
  <c r="G27" i="5"/>
  <c r="I27" i="5" s="1"/>
  <c r="G28" i="5"/>
  <c r="I28" i="5" s="1"/>
  <c r="G29" i="5"/>
  <c r="I29" i="5" s="1"/>
  <c r="G30" i="5"/>
  <c r="I30" i="5" s="1"/>
  <c r="G31" i="5"/>
  <c r="I31" i="5" s="1"/>
  <c r="G32" i="5"/>
  <c r="I32" i="5" s="1"/>
  <c r="G33" i="5"/>
  <c r="I33" i="5" s="1"/>
  <c r="G34" i="5"/>
  <c r="I34" i="5" s="1"/>
  <c r="G35" i="5"/>
  <c r="I35" i="5" s="1"/>
  <c r="G36" i="5"/>
  <c r="I36" i="5" s="1"/>
  <c r="G37" i="5"/>
  <c r="I37" i="5" s="1"/>
  <c r="G38" i="5"/>
  <c r="I38" i="5" s="1"/>
  <c r="G39" i="5"/>
  <c r="I39" i="5" s="1"/>
  <c r="G40" i="5"/>
  <c r="I40" i="5" s="1"/>
  <c r="G41" i="5"/>
  <c r="I41" i="5" s="1"/>
  <c r="G42" i="5"/>
  <c r="I42" i="5" s="1"/>
  <c r="G43" i="5"/>
  <c r="I43" i="5" s="1"/>
  <c r="G44" i="5"/>
  <c r="I44" i="5" s="1"/>
  <c r="G45" i="5"/>
  <c r="I45" i="5" s="1"/>
  <c r="G46" i="5"/>
  <c r="I46" i="5" s="1"/>
  <c r="G47" i="5"/>
  <c r="I47" i="5" s="1"/>
  <c r="G48" i="5"/>
  <c r="I48" i="5" s="1"/>
  <c r="G49" i="5"/>
  <c r="I49" i="5" s="1"/>
  <c r="G50" i="5"/>
  <c r="I50" i="5" s="1"/>
  <c r="G51" i="5"/>
  <c r="I51" i="5" s="1"/>
  <c r="G52" i="5"/>
  <c r="I52" i="5" s="1"/>
  <c r="G53" i="5"/>
  <c r="I53" i="5" s="1"/>
  <c r="G54" i="5"/>
  <c r="I54" i="5" s="1"/>
  <c r="G55" i="5"/>
  <c r="I55" i="5" s="1"/>
  <c r="G56" i="5"/>
  <c r="I56" i="5" s="1"/>
  <c r="G57" i="5"/>
  <c r="I57" i="5" s="1"/>
  <c r="G58" i="5"/>
  <c r="I58" i="5" s="1"/>
  <c r="G59" i="5"/>
  <c r="I59" i="5" s="1"/>
  <c r="G60" i="5"/>
  <c r="I60" i="5" s="1"/>
  <c r="G61" i="5"/>
  <c r="I61" i="5" s="1"/>
  <c r="G62" i="5"/>
  <c r="I62" i="5" s="1"/>
  <c r="G63" i="5"/>
  <c r="I63" i="5" s="1"/>
  <c r="G64" i="5"/>
  <c r="I64" i="5" s="1"/>
  <c r="G65" i="5"/>
  <c r="I65" i="5" s="1"/>
  <c r="G66" i="5"/>
  <c r="I66" i="5" s="1"/>
  <c r="G67" i="5"/>
  <c r="I67" i="5" s="1"/>
  <c r="G68" i="5"/>
  <c r="I68" i="5" s="1"/>
  <c r="G69" i="5"/>
  <c r="I69" i="5" s="1"/>
  <c r="G70" i="5"/>
  <c r="I70" i="5" s="1"/>
  <c r="G71" i="5"/>
  <c r="I71" i="5" s="1"/>
  <c r="G72" i="5"/>
  <c r="I72" i="5" s="1"/>
  <c r="G73" i="5"/>
  <c r="I73" i="5" s="1"/>
  <c r="G74" i="5"/>
  <c r="I74" i="5" s="1"/>
  <c r="G75" i="5"/>
  <c r="I75" i="5" s="1"/>
  <c r="G76" i="5"/>
  <c r="I76" i="5" s="1"/>
  <c r="G77" i="5"/>
  <c r="I77" i="5" s="1"/>
  <c r="G78" i="5"/>
  <c r="I78" i="5" s="1"/>
  <c r="G79" i="5"/>
  <c r="I79" i="5" s="1"/>
  <c r="G80" i="5"/>
  <c r="I80" i="5" s="1"/>
  <c r="G81" i="5"/>
  <c r="I81" i="5" s="1"/>
  <c r="G82" i="5"/>
  <c r="I82" i="5" s="1"/>
  <c r="G83" i="5"/>
  <c r="I83" i="5" s="1"/>
  <c r="G84" i="5"/>
  <c r="I84" i="5" s="1"/>
  <c r="G85" i="5"/>
  <c r="I85" i="5" s="1"/>
  <c r="G86" i="5"/>
  <c r="I86" i="5" s="1"/>
  <c r="G87" i="5"/>
  <c r="I87" i="5" s="1"/>
  <c r="G88" i="5"/>
  <c r="I88" i="5" s="1"/>
  <c r="G89" i="5"/>
  <c r="I89" i="5" s="1"/>
  <c r="G90" i="5"/>
  <c r="I90" i="5" s="1"/>
  <c r="G91" i="5"/>
  <c r="I91" i="5" s="1"/>
  <c r="G92" i="5"/>
  <c r="I92" i="5" s="1"/>
  <c r="G93" i="5"/>
  <c r="I93" i="5" s="1"/>
  <c r="G94" i="5"/>
  <c r="I94" i="5" s="1"/>
  <c r="G95" i="5"/>
  <c r="I95" i="5" s="1"/>
  <c r="G96" i="5"/>
  <c r="I96" i="5" s="1"/>
  <c r="G97" i="5"/>
  <c r="I97" i="5" s="1"/>
  <c r="G98" i="5"/>
  <c r="I98" i="5" s="1"/>
  <c r="G99" i="5"/>
  <c r="I99" i="5" s="1"/>
  <c r="G100" i="5"/>
  <c r="I100" i="5" s="1"/>
  <c r="G101" i="5"/>
  <c r="I101" i="5" s="1"/>
  <c r="G102" i="5"/>
  <c r="I102" i="5" s="1"/>
  <c r="G103" i="5"/>
  <c r="I103" i="5" s="1"/>
  <c r="G104" i="5"/>
  <c r="I104" i="5" s="1"/>
  <c r="G105" i="5"/>
  <c r="I105" i="5" s="1"/>
  <c r="G106" i="5"/>
  <c r="I106" i="5" s="1"/>
  <c r="G107" i="5"/>
  <c r="I107" i="5" s="1"/>
  <c r="G108" i="5"/>
  <c r="I108" i="5" s="1"/>
  <c r="G109" i="5"/>
  <c r="I109" i="5" s="1"/>
  <c r="G110" i="5"/>
  <c r="I110" i="5" s="1"/>
  <c r="G111" i="5"/>
  <c r="I111" i="5" s="1"/>
  <c r="G112" i="5"/>
  <c r="I112" i="5" s="1"/>
  <c r="G113" i="5"/>
  <c r="I113" i="5" s="1"/>
  <c r="G114" i="5"/>
  <c r="I114" i="5" s="1"/>
  <c r="G115" i="5"/>
  <c r="I115" i="5" s="1"/>
  <c r="G116" i="5"/>
  <c r="I116" i="5" s="1"/>
  <c r="G117" i="5"/>
  <c r="I117" i="5" s="1"/>
  <c r="G118" i="5"/>
  <c r="I118" i="5" s="1"/>
  <c r="G119" i="5"/>
  <c r="I119" i="5" s="1"/>
  <c r="G120" i="5"/>
  <c r="I120" i="5" s="1"/>
  <c r="G121" i="5"/>
  <c r="I121" i="5" s="1"/>
  <c r="G122" i="5"/>
  <c r="I122" i="5" s="1"/>
  <c r="G123" i="5"/>
  <c r="I123" i="5" s="1"/>
  <c r="G124" i="5"/>
  <c r="I124" i="5" s="1"/>
  <c r="G125" i="5"/>
  <c r="I125" i="5" s="1"/>
  <c r="G126" i="5"/>
  <c r="I126" i="5" s="1"/>
  <c r="G127" i="5"/>
  <c r="I127" i="5" s="1"/>
  <c r="G128" i="5"/>
  <c r="I128" i="5" s="1"/>
  <c r="G129" i="5"/>
  <c r="I129" i="5" s="1"/>
  <c r="G130" i="5"/>
  <c r="I130" i="5" s="1"/>
  <c r="G131" i="5"/>
  <c r="I131" i="5" s="1"/>
  <c r="G132" i="5"/>
  <c r="I132" i="5" s="1"/>
  <c r="G133" i="5"/>
  <c r="I133" i="5" s="1"/>
  <c r="G134" i="5"/>
  <c r="I134" i="5" s="1"/>
  <c r="G135" i="5"/>
  <c r="I135" i="5" s="1"/>
  <c r="G136" i="5"/>
  <c r="I136" i="5" s="1"/>
  <c r="G137" i="5"/>
  <c r="I137" i="5" s="1"/>
  <c r="G138" i="5"/>
  <c r="I138" i="5" s="1"/>
  <c r="G139" i="5"/>
  <c r="I139" i="5" s="1"/>
  <c r="G140" i="5"/>
  <c r="I140" i="5" s="1"/>
  <c r="G141" i="5"/>
  <c r="I141" i="5" s="1"/>
  <c r="G142" i="5"/>
  <c r="I142" i="5" s="1"/>
  <c r="G143" i="5"/>
  <c r="I143" i="5" s="1"/>
  <c r="G144" i="5"/>
  <c r="I144" i="5" s="1"/>
  <c r="G145" i="5"/>
  <c r="I145" i="5" s="1"/>
  <c r="G146" i="5"/>
  <c r="I146" i="5" s="1"/>
  <c r="G147" i="5"/>
  <c r="I147" i="5" s="1"/>
  <c r="G148" i="5"/>
  <c r="I148" i="5" s="1"/>
  <c r="G149" i="5"/>
  <c r="I149" i="5" s="1"/>
  <c r="G150" i="5"/>
  <c r="I150" i="5" s="1"/>
  <c r="G151" i="5"/>
  <c r="I151" i="5" s="1"/>
  <c r="G152" i="5"/>
  <c r="I152" i="5" s="1"/>
  <c r="G153" i="5"/>
  <c r="I153" i="5" s="1"/>
  <c r="G154" i="5"/>
  <c r="I154" i="5" s="1"/>
  <c r="G155" i="5"/>
  <c r="I155" i="5" s="1"/>
  <c r="G156" i="5"/>
  <c r="I156" i="5" s="1"/>
  <c r="G157" i="5"/>
  <c r="I157" i="5" s="1"/>
  <c r="G158" i="5"/>
  <c r="I158" i="5" s="1"/>
  <c r="G159" i="5"/>
  <c r="I159" i="5" s="1"/>
  <c r="G160" i="5"/>
  <c r="I160" i="5" s="1"/>
  <c r="G161" i="5"/>
  <c r="I161" i="5" s="1"/>
  <c r="G162" i="5"/>
  <c r="I162" i="5" s="1"/>
  <c r="G163" i="5"/>
  <c r="I163" i="5" s="1"/>
  <c r="G164" i="5"/>
  <c r="I164" i="5" s="1"/>
  <c r="G165" i="5"/>
  <c r="I165" i="5" s="1"/>
  <c r="G166" i="5"/>
  <c r="I166" i="5" s="1"/>
  <c r="G167" i="5"/>
  <c r="I167" i="5" s="1"/>
  <c r="G168" i="5"/>
  <c r="I168" i="5" s="1"/>
  <c r="G169" i="5"/>
  <c r="I169" i="5" s="1"/>
  <c r="G170" i="5"/>
  <c r="I170" i="5" s="1"/>
  <c r="G171" i="5"/>
  <c r="I171" i="5" s="1"/>
  <c r="G172" i="5"/>
  <c r="I172" i="5" s="1"/>
  <c r="G173" i="5"/>
  <c r="I173" i="5" s="1"/>
  <c r="G174" i="5"/>
  <c r="I174" i="5" s="1"/>
  <c r="G175" i="5"/>
  <c r="I175" i="5" s="1"/>
  <c r="G176" i="5"/>
  <c r="I176" i="5" s="1"/>
  <c r="G177" i="5"/>
  <c r="I177" i="5" s="1"/>
  <c r="G178" i="5"/>
  <c r="I178" i="5" s="1"/>
  <c r="G179" i="5"/>
  <c r="I179" i="5" s="1"/>
  <c r="G180" i="5"/>
  <c r="I180" i="5" s="1"/>
  <c r="G181" i="5"/>
  <c r="I181" i="5" s="1"/>
  <c r="G182" i="5"/>
  <c r="I182" i="5" s="1"/>
  <c r="G183" i="5"/>
  <c r="I183" i="5" s="1"/>
  <c r="G184" i="5"/>
  <c r="I184" i="5" s="1"/>
  <c r="G185" i="5"/>
  <c r="I185" i="5" s="1"/>
  <c r="G186" i="5"/>
  <c r="I186" i="5" s="1"/>
  <c r="G187" i="5"/>
  <c r="I187" i="5" s="1"/>
  <c r="G188" i="5"/>
  <c r="I188" i="5" s="1"/>
  <c r="G189" i="5"/>
  <c r="I189" i="5" s="1"/>
  <c r="G190" i="5"/>
  <c r="I190" i="5" s="1"/>
  <c r="G191" i="5"/>
  <c r="I191" i="5" s="1"/>
  <c r="G192" i="5"/>
  <c r="I192" i="5" s="1"/>
  <c r="G193" i="5"/>
  <c r="I193" i="5" s="1"/>
  <c r="G194" i="5"/>
  <c r="I194" i="5" s="1"/>
  <c r="G195" i="5"/>
  <c r="I195" i="5" s="1"/>
  <c r="G196" i="5"/>
  <c r="I196" i="5" s="1"/>
  <c r="G197" i="5"/>
  <c r="I197" i="5" s="1"/>
  <c r="G8" i="5"/>
  <c r="I8" i="5" s="1"/>
  <c r="F9" i="5"/>
  <c r="H9" i="5" s="1"/>
  <c r="F10" i="5"/>
  <c r="H10" i="5" s="1"/>
  <c r="F11" i="5"/>
  <c r="H11" i="5" s="1"/>
  <c r="F12" i="5"/>
  <c r="H12" i="5" s="1"/>
  <c r="F13" i="5"/>
  <c r="H13" i="5" s="1"/>
  <c r="F14" i="5"/>
  <c r="H14" i="5" s="1"/>
  <c r="F15" i="5"/>
  <c r="H15" i="5" s="1"/>
  <c r="F16" i="5"/>
  <c r="H16" i="5" s="1"/>
  <c r="F17" i="5"/>
  <c r="H17" i="5" s="1"/>
  <c r="F18" i="5"/>
  <c r="H18" i="5" s="1"/>
  <c r="F19" i="5"/>
  <c r="H19" i="5" s="1"/>
  <c r="F20" i="5"/>
  <c r="H20" i="5" s="1"/>
  <c r="F21" i="5"/>
  <c r="H21" i="5" s="1"/>
  <c r="F22" i="5"/>
  <c r="H22" i="5" s="1"/>
  <c r="F23" i="5"/>
  <c r="H23" i="5" s="1"/>
  <c r="F24" i="5"/>
  <c r="H24" i="5" s="1"/>
  <c r="F25" i="5"/>
  <c r="H25" i="5" s="1"/>
  <c r="F26" i="5"/>
  <c r="H26" i="5" s="1"/>
  <c r="F27" i="5"/>
  <c r="H27" i="5" s="1"/>
  <c r="F28" i="5"/>
  <c r="H28" i="5" s="1"/>
  <c r="F29" i="5"/>
  <c r="H29" i="5" s="1"/>
  <c r="F30" i="5"/>
  <c r="H30" i="5" s="1"/>
  <c r="F31" i="5"/>
  <c r="H31" i="5" s="1"/>
  <c r="F32" i="5"/>
  <c r="H32" i="5" s="1"/>
  <c r="F33" i="5"/>
  <c r="H33" i="5" s="1"/>
  <c r="F34" i="5"/>
  <c r="H34" i="5" s="1"/>
  <c r="F35" i="5"/>
  <c r="H35" i="5" s="1"/>
  <c r="F36" i="5"/>
  <c r="H36" i="5" s="1"/>
  <c r="F37" i="5"/>
  <c r="H37" i="5" s="1"/>
  <c r="F38" i="5"/>
  <c r="H38" i="5" s="1"/>
  <c r="F39" i="5"/>
  <c r="H39" i="5" s="1"/>
  <c r="F40" i="5"/>
  <c r="H40" i="5" s="1"/>
  <c r="F41" i="5"/>
  <c r="H41" i="5" s="1"/>
  <c r="F42" i="5"/>
  <c r="H42" i="5" s="1"/>
  <c r="F43" i="5"/>
  <c r="H43" i="5" s="1"/>
  <c r="F44" i="5"/>
  <c r="H44" i="5" s="1"/>
  <c r="F45" i="5"/>
  <c r="H45" i="5" s="1"/>
  <c r="F46" i="5"/>
  <c r="H46" i="5" s="1"/>
  <c r="F47" i="5"/>
  <c r="H47" i="5" s="1"/>
  <c r="F48" i="5"/>
  <c r="H48" i="5" s="1"/>
  <c r="F49" i="5"/>
  <c r="H49" i="5" s="1"/>
  <c r="F50" i="5"/>
  <c r="H50" i="5" s="1"/>
  <c r="F51" i="5"/>
  <c r="H51" i="5" s="1"/>
  <c r="F52" i="5"/>
  <c r="H52" i="5" s="1"/>
  <c r="F53" i="5"/>
  <c r="H53" i="5" s="1"/>
  <c r="F54" i="5"/>
  <c r="H54" i="5" s="1"/>
  <c r="F55" i="5"/>
  <c r="H55" i="5" s="1"/>
  <c r="F56" i="5"/>
  <c r="H56" i="5" s="1"/>
  <c r="F57" i="5"/>
  <c r="H57" i="5" s="1"/>
  <c r="F58" i="5"/>
  <c r="H58" i="5" s="1"/>
  <c r="F59" i="5"/>
  <c r="H59" i="5" s="1"/>
  <c r="F60" i="5"/>
  <c r="H60" i="5" s="1"/>
  <c r="F61" i="5"/>
  <c r="H61" i="5" s="1"/>
  <c r="F62" i="5"/>
  <c r="H62" i="5" s="1"/>
  <c r="F63" i="5"/>
  <c r="H63" i="5" s="1"/>
  <c r="F64" i="5"/>
  <c r="H64" i="5" s="1"/>
  <c r="F65" i="5"/>
  <c r="H65" i="5" s="1"/>
  <c r="F66" i="5"/>
  <c r="H66" i="5" s="1"/>
  <c r="F67" i="5"/>
  <c r="H67" i="5" s="1"/>
  <c r="F68" i="5"/>
  <c r="H68" i="5" s="1"/>
  <c r="F69" i="5"/>
  <c r="H69" i="5" s="1"/>
  <c r="F70" i="5"/>
  <c r="H70" i="5" s="1"/>
  <c r="F71" i="5"/>
  <c r="H71" i="5" s="1"/>
  <c r="F72" i="5"/>
  <c r="H72" i="5" s="1"/>
  <c r="F73" i="5"/>
  <c r="H73" i="5" s="1"/>
  <c r="F74" i="5"/>
  <c r="H74" i="5" s="1"/>
  <c r="F75" i="5"/>
  <c r="H75" i="5" s="1"/>
  <c r="F76" i="5"/>
  <c r="H76" i="5" s="1"/>
  <c r="F77" i="5"/>
  <c r="H77" i="5" s="1"/>
  <c r="F78" i="5"/>
  <c r="H78" i="5" s="1"/>
  <c r="F79" i="5"/>
  <c r="H79" i="5" s="1"/>
  <c r="F80" i="5"/>
  <c r="H80" i="5" s="1"/>
  <c r="F81" i="5"/>
  <c r="H81" i="5" s="1"/>
  <c r="F82" i="5"/>
  <c r="H82" i="5" s="1"/>
  <c r="F83" i="5"/>
  <c r="H83" i="5" s="1"/>
  <c r="F84" i="5"/>
  <c r="H84" i="5" s="1"/>
  <c r="F85" i="5"/>
  <c r="H85" i="5" s="1"/>
  <c r="F86" i="5"/>
  <c r="H86" i="5" s="1"/>
  <c r="F87" i="5"/>
  <c r="H87" i="5" s="1"/>
  <c r="F88" i="5"/>
  <c r="H88" i="5" s="1"/>
  <c r="F89" i="5"/>
  <c r="H89" i="5" s="1"/>
  <c r="F90" i="5"/>
  <c r="H90" i="5" s="1"/>
  <c r="F91" i="5"/>
  <c r="H91" i="5" s="1"/>
  <c r="F92" i="5"/>
  <c r="H92" i="5" s="1"/>
  <c r="F93" i="5"/>
  <c r="H93" i="5" s="1"/>
  <c r="F94" i="5"/>
  <c r="H94" i="5" s="1"/>
  <c r="F95" i="5"/>
  <c r="H95" i="5" s="1"/>
  <c r="F96" i="5"/>
  <c r="H96" i="5" s="1"/>
  <c r="F97" i="5"/>
  <c r="H97" i="5" s="1"/>
  <c r="F98" i="5"/>
  <c r="H98" i="5" s="1"/>
  <c r="F99" i="5"/>
  <c r="H99" i="5" s="1"/>
  <c r="F100" i="5"/>
  <c r="H100" i="5" s="1"/>
  <c r="F101" i="5"/>
  <c r="H101" i="5" s="1"/>
  <c r="F102" i="5"/>
  <c r="H102" i="5" s="1"/>
  <c r="F103" i="5"/>
  <c r="H103" i="5" s="1"/>
  <c r="F104" i="5"/>
  <c r="H104" i="5" s="1"/>
  <c r="F105" i="5"/>
  <c r="H105" i="5" s="1"/>
  <c r="F106" i="5"/>
  <c r="H106" i="5" s="1"/>
  <c r="F107" i="5"/>
  <c r="H107" i="5" s="1"/>
  <c r="F108" i="5"/>
  <c r="H108" i="5" s="1"/>
  <c r="F109" i="5"/>
  <c r="H109" i="5" s="1"/>
  <c r="F110" i="5"/>
  <c r="H110" i="5" s="1"/>
  <c r="F111" i="5"/>
  <c r="H111" i="5" s="1"/>
  <c r="F112" i="5"/>
  <c r="H112" i="5" s="1"/>
  <c r="F113" i="5"/>
  <c r="H113" i="5" s="1"/>
  <c r="F114" i="5"/>
  <c r="H114" i="5" s="1"/>
  <c r="F115" i="5"/>
  <c r="H115" i="5" s="1"/>
  <c r="F116" i="5"/>
  <c r="H116" i="5" s="1"/>
  <c r="F117" i="5"/>
  <c r="H117" i="5" s="1"/>
  <c r="F118" i="5"/>
  <c r="H118" i="5" s="1"/>
  <c r="F119" i="5"/>
  <c r="H119" i="5" s="1"/>
  <c r="F120" i="5"/>
  <c r="H120" i="5" s="1"/>
  <c r="F121" i="5"/>
  <c r="H121" i="5" s="1"/>
  <c r="F122" i="5"/>
  <c r="H122" i="5" s="1"/>
  <c r="F123" i="5"/>
  <c r="H123" i="5" s="1"/>
  <c r="F124" i="5"/>
  <c r="H124" i="5" s="1"/>
  <c r="F125" i="5"/>
  <c r="H125" i="5" s="1"/>
  <c r="F126" i="5"/>
  <c r="H126" i="5" s="1"/>
  <c r="F127" i="5"/>
  <c r="H127" i="5" s="1"/>
  <c r="F128" i="5"/>
  <c r="H128" i="5" s="1"/>
  <c r="F129" i="5"/>
  <c r="H129" i="5" s="1"/>
  <c r="F130" i="5"/>
  <c r="H130" i="5" s="1"/>
  <c r="F131" i="5"/>
  <c r="H131" i="5" s="1"/>
  <c r="F132" i="5"/>
  <c r="H132" i="5" s="1"/>
  <c r="F133" i="5"/>
  <c r="H133" i="5" s="1"/>
  <c r="F134" i="5"/>
  <c r="H134" i="5" s="1"/>
  <c r="F135" i="5"/>
  <c r="H135" i="5" s="1"/>
  <c r="F136" i="5"/>
  <c r="H136" i="5" s="1"/>
  <c r="F137" i="5"/>
  <c r="H137" i="5" s="1"/>
  <c r="F138" i="5"/>
  <c r="H138" i="5" s="1"/>
  <c r="F139" i="5"/>
  <c r="H139" i="5" s="1"/>
  <c r="F140" i="5"/>
  <c r="H140" i="5" s="1"/>
  <c r="F141" i="5"/>
  <c r="H141" i="5" s="1"/>
  <c r="F142" i="5"/>
  <c r="H142" i="5" s="1"/>
  <c r="F143" i="5"/>
  <c r="H143" i="5" s="1"/>
  <c r="F144" i="5"/>
  <c r="H144" i="5" s="1"/>
  <c r="F145" i="5"/>
  <c r="H145" i="5" s="1"/>
  <c r="F146" i="5"/>
  <c r="H146" i="5" s="1"/>
  <c r="F147" i="5"/>
  <c r="H147" i="5" s="1"/>
  <c r="F148" i="5"/>
  <c r="H148" i="5" s="1"/>
  <c r="F149" i="5"/>
  <c r="H149" i="5" s="1"/>
  <c r="F150" i="5"/>
  <c r="H150" i="5" s="1"/>
  <c r="F151" i="5"/>
  <c r="H151" i="5" s="1"/>
  <c r="F152" i="5"/>
  <c r="H152" i="5" s="1"/>
  <c r="F153" i="5"/>
  <c r="H153" i="5" s="1"/>
  <c r="F154" i="5"/>
  <c r="H154" i="5" s="1"/>
  <c r="F155" i="5"/>
  <c r="H155" i="5" s="1"/>
  <c r="F156" i="5"/>
  <c r="H156" i="5" s="1"/>
  <c r="F157" i="5"/>
  <c r="H157" i="5" s="1"/>
  <c r="F158" i="5"/>
  <c r="H158" i="5" s="1"/>
  <c r="F159" i="5"/>
  <c r="H159" i="5" s="1"/>
  <c r="F160" i="5"/>
  <c r="H160" i="5" s="1"/>
  <c r="F161" i="5"/>
  <c r="H161" i="5" s="1"/>
  <c r="F162" i="5"/>
  <c r="H162" i="5" s="1"/>
  <c r="F163" i="5"/>
  <c r="H163" i="5" s="1"/>
  <c r="F164" i="5"/>
  <c r="H164" i="5" s="1"/>
  <c r="F165" i="5"/>
  <c r="H165" i="5" s="1"/>
  <c r="F166" i="5"/>
  <c r="H166" i="5" s="1"/>
  <c r="F167" i="5"/>
  <c r="H167" i="5" s="1"/>
  <c r="F168" i="5"/>
  <c r="H168" i="5" s="1"/>
  <c r="F169" i="5"/>
  <c r="H169" i="5" s="1"/>
  <c r="F170" i="5"/>
  <c r="H170" i="5" s="1"/>
  <c r="F171" i="5"/>
  <c r="H171" i="5" s="1"/>
  <c r="F172" i="5"/>
  <c r="H172" i="5" s="1"/>
  <c r="F173" i="5"/>
  <c r="H173" i="5" s="1"/>
  <c r="F174" i="5"/>
  <c r="H174" i="5" s="1"/>
  <c r="F175" i="5"/>
  <c r="H175" i="5" s="1"/>
  <c r="F176" i="5"/>
  <c r="H176" i="5" s="1"/>
  <c r="F177" i="5"/>
  <c r="H177" i="5" s="1"/>
  <c r="F178" i="5"/>
  <c r="H178" i="5" s="1"/>
  <c r="F179" i="5"/>
  <c r="H179" i="5" s="1"/>
  <c r="F180" i="5"/>
  <c r="H180" i="5" s="1"/>
  <c r="F181" i="5"/>
  <c r="H181" i="5" s="1"/>
  <c r="F182" i="5"/>
  <c r="H182" i="5" s="1"/>
  <c r="F183" i="5"/>
  <c r="H183" i="5" s="1"/>
  <c r="F184" i="5"/>
  <c r="H184" i="5" s="1"/>
  <c r="F185" i="5"/>
  <c r="H185" i="5" s="1"/>
  <c r="F186" i="5"/>
  <c r="H186" i="5" s="1"/>
  <c r="F187" i="5"/>
  <c r="H187" i="5" s="1"/>
  <c r="F188" i="5"/>
  <c r="H188" i="5" s="1"/>
  <c r="F189" i="5"/>
  <c r="H189" i="5" s="1"/>
  <c r="F190" i="5"/>
  <c r="H190" i="5" s="1"/>
  <c r="F191" i="5"/>
  <c r="H191" i="5" s="1"/>
  <c r="F192" i="5"/>
  <c r="H192" i="5" s="1"/>
  <c r="F193" i="5"/>
  <c r="H193" i="5" s="1"/>
  <c r="F194" i="5"/>
  <c r="H194" i="5" s="1"/>
  <c r="F195" i="5"/>
  <c r="H195" i="5" s="1"/>
  <c r="F196" i="5"/>
  <c r="H196" i="5" s="1"/>
  <c r="F197" i="5"/>
  <c r="H197" i="5" s="1"/>
  <c r="F8" i="5"/>
  <c r="H8" i="5" s="1"/>
  <c r="F60" i="4"/>
  <c r="E60" i="4"/>
  <c r="F25" i="4"/>
  <c r="F26" i="4"/>
  <c r="F27" i="4"/>
  <c r="F28" i="4"/>
  <c r="F29" i="4"/>
  <c r="F30" i="4"/>
  <c r="F31" i="4"/>
  <c r="F32" i="4"/>
  <c r="F24" i="4"/>
  <c r="E25" i="4"/>
  <c r="E26" i="4"/>
  <c r="E27" i="4"/>
  <c r="E28" i="4"/>
  <c r="E29" i="4"/>
  <c r="E30" i="4"/>
  <c r="E31" i="4"/>
  <c r="E32" i="4"/>
  <c r="E24" i="4"/>
  <c r="F20" i="4"/>
  <c r="F19" i="4"/>
  <c r="F18" i="4"/>
  <c r="E20" i="4"/>
  <c r="E19" i="4"/>
  <c r="E18" i="4"/>
  <c r="C19" i="4"/>
  <c r="C18" i="4"/>
  <c r="D20" i="4"/>
  <c r="D19" i="4"/>
  <c r="D18" i="4"/>
  <c r="C20" i="4"/>
  <c r="K176" i="9" l="1"/>
  <c r="N176" i="9" s="1"/>
  <c r="K198" i="9"/>
  <c r="N198" i="9" s="1"/>
  <c r="K180" i="9"/>
  <c r="N180" i="9" s="1"/>
  <c r="K28" i="11"/>
  <c r="K11" i="11"/>
  <c r="K27" i="11"/>
  <c r="K70" i="11"/>
  <c r="N70" i="11" s="1"/>
  <c r="K26" i="11"/>
  <c r="L26" i="11" s="1"/>
  <c r="K69" i="11"/>
  <c r="K25" i="11"/>
  <c r="M25" i="11" s="1"/>
  <c r="K181" i="9"/>
  <c r="N181" i="9" s="1"/>
  <c r="K44" i="11"/>
  <c r="N44" i="11" s="1"/>
  <c r="K43" i="11"/>
  <c r="N43" i="11" s="1"/>
  <c r="K42" i="11"/>
  <c r="N42" i="11" s="1"/>
  <c r="K41" i="11"/>
  <c r="M41" i="11" s="1"/>
  <c r="K68" i="11"/>
  <c r="L68" i="11" s="1"/>
  <c r="K24" i="11"/>
  <c r="M24" i="11" s="1"/>
  <c r="K67" i="11"/>
  <c r="N67" i="11" s="1"/>
  <c r="K23" i="11"/>
  <c r="N23" i="11" s="1"/>
  <c r="K66" i="11"/>
  <c r="N66" i="11" s="1"/>
  <c r="K22" i="11"/>
  <c r="M22" i="11" s="1"/>
  <c r="K65" i="11"/>
  <c r="M65" i="11" s="1"/>
  <c r="K21" i="11"/>
  <c r="M21" i="11" s="1"/>
  <c r="K64" i="11"/>
  <c r="M64" i="11" s="1"/>
  <c r="K20" i="11"/>
  <c r="M20" i="11" s="1"/>
  <c r="K63" i="11"/>
  <c r="M63" i="11" s="1"/>
  <c r="K19" i="11"/>
  <c r="M19" i="11" s="1"/>
  <c r="K62" i="11"/>
  <c r="L62" i="11" s="1"/>
  <c r="K40" i="11"/>
  <c r="M40" i="11" s="1"/>
  <c r="K18" i="11"/>
  <c r="M18" i="11" s="1"/>
  <c r="K61" i="11"/>
  <c r="L61" i="11" s="1"/>
  <c r="K39" i="11"/>
  <c r="N39" i="11" s="1"/>
  <c r="K17" i="11"/>
  <c r="N17" i="11" s="1"/>
  <c r="K60" i="11"/>
  <c r="N60" i="11" s="1"/>
  <c r="K38" i="11"/>
  <c r="L38" i="11" s="1"/>
  <c r="K16" i="11"/>
  <c r="N16" i="11" s="1"/>
  <c r="K59" i="11"/>
  <c r="N59" i="11" s="1"/>
  <c r="K37" i="11"/>
  <c r="N37" i="11" s="1"/>
  <c r="K15" i="11"/>
  <c r="N15" i="11" s="1"/>
  <c r="K58" i="11"/>
  <c r="N58" i="11" s="1"/>
  <c r="K36" i="11"/>
  <c r="N36" i="11" s="1"/>
  <c r="K14" i="11"/>
  <c r="N14" i="11" s="1"/>
  <c r="K57" i="11"/>
  <c r="N57" i="11" s="1"/>
  <c r="K35" i="11"/>
  <c r="N35" i="11" s="1"/>
  <c r="K13" i="11"/>
  <c r="N13" i="11" s="1"/>
  <c r="K34" i="11"/>
  <c r="K55" i="11"/>
  <c r="K54" i="11"/>
  <c r="K53" i="11"/>
  <c r="K31" i="11"/>
  <c r="K52" i="11"/>
  <c r="K51" i="11"/>
  <c r="K49" i="11"/>
  <c r="K48" i="11"/>
  <c r="L43" i="11"/>
  <c r="M42" i="11"/>
  <c r="M28" i="11"/>
  <c r="N28" i="11"/>
  <c r="L28" i="11"/>
  <c r="M27" i="11"/>
  <c r="N27" i="11"/>
  <c r="L27" i="11"/>
  <c r="M62" i="11"/>
  <c r="N62" i="11"/>
  <c r="M11" i="11"/>
  <c r="N11" i="11"/>
  <c r="L11" i="11"/>
  <c r="M69" i="11"/>
  <c r="N69" i="11"/>
  <c r="L69" i="11"/>
  <c r="K56" i="11"/>
  <c r="K12" i="11"/>
  <c r="K33" i="11"/>
  <c r="K32" i="11"/>
  <c r="K30" i="11"/>
  <c r="K50" i="11"/>
  <c r="K29" i="11"/>
  <c r="K47" i="11"/>
  <c r="K46" i="11"/>
  <c r="K45" i="11"/>
  <c r="K136" i="9"/>
  <c r="N136" i="9" s="1"/>
  <c r="K135" i="9"/>
  <c r="N135" i="9" s="1"/>
  <c r="K199" i="9"/>
  <c r="N199" i="9" s="1"/>
  <c r="K154" i="9"/>
  <c r="N154" i="9" s="1"/>
  <c r="K155" i="9"/>
  <c r="N155" i="9" s="1"/>
  <c r="K153" i="9"/>
  <c r="N153" i="9" s="1"/>
  <c r="K174" i="9"/>
  <c r="N174" i="9" s="1"/>
  <c r="K195" i="9"/>
  <c r="N195" i="9" s="1"/>
  <c r="K129" i="9"/>
  <c r="L129" i="9" s="1"/>
  <c r="L180" i="9"/>
  <c r="L135" i="9"/>
  <c r="M135" i="9"/>
  <c r="L195" i="9"/>
  <c r="K128" i="9"/>
  <c r="N128" i="9" s="1"/>
  <c r="M181" i="9"/>
  <c r="K152" i="9"/>
  <c r="N152" i="9" s="1"/>
  <c r="K217" i="9"/>
  <c r="N217" i="9" s="1"/>
  <c r="K172" i="9"/>
  <c r="N172" i="9" s="1"/>
  <c r="K214" i="9"/>
  <c r="N214" i="9" s="1"/>
  <c r="K192" i="9"/>
  <c r="N192" i="9" s="1"/>
  <c r="K173" i="9"/>
  <c r="N173" i="9" s="1"/>
  <c r="K148" i="9"/>
  <c r="N148" i="9" s="1"/>
  <c r="K218" i="9"/>
  <c r="N218" i="9" s="1"/>
  <c r="K169" i="9"/>
  <c r="N169" i="9" s="1"/>
  <c r="K216" i="9"/>
  <c r="N216" i="9" s="1"/>
  <c r="K147" i="9"/>
  <c r="N147" i="9" s="1"/>
  <c r="K191" i="9"/>
  <c r="N191" i="9" s="1"/>
  <c r="L154" i="9"/>
  <c r="L198" i="9"/>
  <c r="M198" i="9"/>
  <c r="L199" i="9"/>
  <c r="L177" i="9"/>
  <c r="M177" i="9"/>
  <c r="K150" i="9"/>
  <c r="N150" i="9" s="1"/>
  <c r="K125" i="9"/>
  <c r="N125" i="9" s="1"/>
  <c r="K170" i="9"/>
  <c r="N170" i="9" s="1"/>
  <c r="K197" i="9"/>
  <c r="N197" i="9" s="1"/>
  <c r="K131" i="9"/>
  <c r="N131" i="9" s="1"/>
  <c r="K196" i="9"/>
  <c r="N196" i="9" s="1"/>
  <c r="K130" i="9"/>
  <c r="N130" i="9" s="1"/>
  <c r="K123" i="9"/>
  <c r="N123" i="9" s="1"/>
  <c r="K126" i="9"/>
  <c r="N126" i="9" s="1"/>
  <c r="K142" i="9"/>
  <c r="N142" i="9" s="1"/>
  <c r="K212" i="9"/>
  <c r="N212" i="9" s="1"/>
  <c r="K190" i="9"/>
  <c r="N190" i="9" s="1"/>
  <c r="K168" i="9"/>
  <c r="N168" i="9" s="1"/>
  <c r="K146" i="9"/>
  <c r="N146" i="9" s="1"/>
  <c r="K124" i="9"/>
  <c r="N124" i="9" s="1"/>
  <c r="K167" i="9"/>
  <c r="N167" i="9" s="1"/>
  <c r="K145" i="9"/>
  <c r="N145" i="9" s="1"/>
  <c r="K188" i="9"/>
  <c r="N188" i="9" s="1"/>
  <c r="K201" i="9"/>
  <c r="N201" i="9" s="1"/>
  <c r="K210" i="9"/>
  <c r="N210" i="9" s="1"/>
  <c r="K166" i="9"/>
  <c r="N166" i="9" s="1"/>
  <c r="K144" i="9"/>
  <c r="N144" i="9" s="1"/>
  <c r="K122" i="9"/>
  <c r="N122" i="9" s="1"/>
  <c r="K209" i="9"/>
  <c r="N209" i="9" s="1"/>
  <c r="K165" i="9"/>
  <c r="N165" i="9" s="1"/>
  <c r="K143" i="9"/>
  <c r="N143" i="9" s="1"/>
  <c r="K202" i="9"/>
  <c r="N202" i="9" s="1"/>
  <c r="K186" i="9"/>
  <c r="N186" i="9" s="1"/>
  <c r="K164" i="9"/>
  <c r="N164" i="9" s="1"/>
  <c r="K207" i="9"/>
  <c r="N207" i="9" s="1"/>
  <c r="K185" i="9"/>
  <c r="N185" i="9" s="1"/>
  <c r="K163" i="9"/>
  <c r="N163" i="9" s="1"/>
  <c r="K141" i="9"/>
  <c r="N141" i="9" s="1"/>
  <c r="K161" i="9"/>
  <c r="N161" i="9" s="1"/>
  <c r="K175" i="9"/>
  <c r="N175" i="9" s="1"/>
  <c r="K219" i="9"/>
  <c r="N219" i="9" s="1"/>
  <c r="K206" i="9"/>
  <c r="N206" i="9" s="1"/>
  <c r="K184" i="9"/>
  <c r="N184" i="9" s="1"/>
  <c r="K140" i="9"/>
  <c r="N140" i="9" s="1"/>
  <c r="K132" i="9"/>
  <c r="N132" i="9" s="1"/>
  <c r="K205" i="9"/>
  <c r="N205" i="9" s="1"/>
  <c r="K183" i="9"/>
  <c r="N183" i="9" s="1"/>
  <c r="K139" i="9"/>
  <c r="N139" i="9" s="1"/>
  <c r="K162" i="9"/>
  <c r="N162" i="9" s="1"/>
  <c r="K220" i="9"/>
  <c r="N220" i="9" s="1"/>
  <c r="K133" i="9"/>
  <c r="N133" i="9" s="1"/>
  <c r="K203" i="9"/>
  <c r="N203" i="9" s="1"/>
  <c r="K159" i="9"/>
  <c r="N159" i="9" s="1"/>
  <c r="K137" i="9"/>
  <c r="N137" i="9" s="1"/>
  <c r="K158" i="9"/>
  <c r="N158" i="9" s="1"/>
  <c r="K134" i="9"/>
  <c r="N134" i="9" s="1"/>
  <c r="K208" i="9"/>
  <c r="N208" i="9" s="1"/>
  <c r="K157" i="9"/>
  <c r="N157" i="9" s="1"/>
  <c r="K151" i="9"/>
  <c r="N151" i="9" s="1"/>
  <c r="K179" i="9"/>
  <c r="N179" i="9" s="1"/>
  <c r="K194" i="9"/>
  <c r="N194" i="9" s="1"/>
  <c r="K156" i="9"/>
  <c r="N156" i="9" s="1"/>
  <c r="K121" i="9"/>
  <c r="N121" i="9" s="1"/>
  <c r="K178" i="9"/>
  <c r="N178" i="9" s="1"/>
  <c r="K189" i="9"/>
  <c r="N189" i="9" s="1"/>
  <c r="K200" i="9"/>
  <c r="N200" i="9" s="1"/>
  <c r="K211" i="9"/>
  <c r="N211" i="9" s="1"/>
  <c r="K204" i="9"/>
  <c r="N204" i="9" s="1"/>
  <c r="K221" i="9"/>
  <c r="N221" i="9" s="1"/>
  <c r="K138" i="9"/>
  <c r="N138" i="9" s="1"/>
  <c r="K171" i="9"/>
  <c r="N171" i="9" s="1"/>
  <c r="K215" i="9"/>
  <c r="N215" i="9" s="1"/>
  <c r="K182" i="9"/>
  <c r="N182" i="9" s="1"/>
  <c r="K149" i="9"/>
  <c r="N149" i="9" s="1"/>
  <c r="K193" i="9"/>
  <c r="N193" i="9" s="1"/>
  <c r="K127" i="9"/>
  <c r="N127" i="9" s="1"/>
  <c r="K160" i="9"/>
  <c r="N160" i="9" s="1"/>
  <c r="K187" i="9"/>
  <c r="N187" i="9" s="1"/>
  <c r="K213" i="9"/>
  <c r="N213" i="9" s="1"/>
  <c r="K24" i="9"/>
  <c r="K31" i="9"/>
  <c r="K10" i="9"/>
  <c r="K58" i="9"/>
  <c r="K100" i="9"/>
  <c r="K91" i="9"/>
  <c r="K76" i="9"/>
  <c r="K107" i="9"/>
  <c r="K51" i="9"/>
  <c r="K45" i="9"/>
  <c r="K30" i="9"/>
  <c r="K34" i="9"/>
  <c r="K43" i="9"/>
  <c r="K55" i="9"/>
  <c r="K94" i="9"/>
  <c r="K11" i="9"/>
  <c r="K59" i="9"/>
  <c r="K70" i="9"/>
  <c r="K53" i="9"/>
  <c r="K103" i="9"/>
  <c r="K33" i="9"/>
  <c r="K13" i="9"/>
  <c r="K89" i="9"/>
  <c r="K101" i="9"/>
  <c r="K49" i="9"/>
  <c r="K50" i="9"/>
  <c r="K97" i="9"/>
  <c r="K72" i="9"/>
  <c r="K95" i="9"/>
  <c r="K69" i="9"/>
  <c r="K85" i="9"/>
  <c r="K108" i="9"/>
  <c r="K37" i="9"/>
  <c r="K105" i="9"/>
  <c r="K68" i="9"/>
  <c r="K86" i="9"/>
  <c r="K82" i="9"/>
  <c r="K12" i="9"/>
  <c r="K17" i="9"/>
  <c r="K71" i="9"/>
  <c r="K78" i="9"/>
  <c r="K42" i="9"/>
  <c r="K64" i="9"/>
  <c r="K75" i="9"/>
  <c r="K79" i="9"/>
  <c r="K26" i="9"/>
  <c r="K84" i="9"/>
  <c r="K25" i="9"/>
  <c r="K52" i="9"/>
  <c r="K9" i="9"/>
  <c r="K66" i="9"/>
  <c r="K104" i="9"/>
  <c r="K15" i="9"/>
  <c r="K87" i="9"/>
  <c r="K77" i="9"/>
  <c r="K74" i="9"/>
  <c r="K22" i="9"/>
  <c r="K96" i="9"/>
  <c r="K63" i="9"/>
  <c r="K99" i="9"/>
  <c r="K92" i="9"/>
  <c r="K41" i="9"/>
  <c r="K16" i="9"/>
  <c r="K38" i="9"/>
  <c r="K20" i="9"/>
  <c r="K35" i="9"/>
  <c r="K61" i="9"/>
  <c r="K67" i="9"/>
  <c r="K102" i="9"/>
  <c r="K98" i="9"/>
  <c r="K18" i="9"/>
  <c r="K27" i="9"/>
  <c r="K21" i="9"/>
  <c r="K48" i="9"/>
  <c r="K47" i="9"/>
  <c r="K40" i="9"/>
  <c r="K65" i="9"/>
  <c r="K32" i="9"/>
  <c r="K56" i="9"/>
  <c r="K80" i="9"/>
  <c r="K46" i="9"/>
  <c r="K23" i="9"/>
  <c r="K93" i="9"/>
  <c r="K14" i="9"/>
  <c r="K73" i="9"/>
  <c r="K106" i="9"/>
  <c r="K44" i="9"/>
  <c r="K54" i="9"/>
  <c r="K8" i="9"/>
  <c r="K28" i="9"/>
  <c r="K36" i="9"/>
  <c r="K90" i="9"/>
  <c r="K62" i="9"/>
  <c r="K88" i="9"/>
  <c r="K39" i="9"/>
  <c r="K81" i="9"/>
  <c r="K29" i="9"/>
  <c r="K57" i="9"/>
  <c r="K83" i="9"/>
  <c r="K19" i="9"/>
  <c r="K60" i="9"/>
  <c r="J23" i="5"/>
  <c r="J132" i="5"/>
  <c r="J22" i="5"/>
  <c r="J141" i="5"/>
  <c r="J140" i="5"/>
  <c r="J183" i="5"/>
  <c r="J139" i="5"/>
  <c r="J95" i="5"/>
  <c r="J138" i="5"/>
  <c r="J116" i="5"/>
  <c r="J94" i="5"/>
  <c r="J28" i="5"/>
  <c r="J48" i="5"/>
  <c r="J84" i="5"/>
  <c r="J127" i="5"/>
  <c r="J46" i="5"/>
  <c r="J45" i="5"/>
  <c r="J37" i="5"/>
  <c r="J44" i="5"/>
  <c r="J36" i="5"/>
  <c r="J47" i="5"/>
  <c r="J113" i="5"/>
  <c r="J178" i="5"/>
  <c r="J112" i="5"/>
  <c r="J137" i="5"/>
  <c r="J115" i="5"/>
  <c r="J93" i="5"/>
  <c r="J27" i="5"/>
  <c r="J114" i="5"/>
  <c r="J179" i="5"/>
  <c r="J69" i="5"/>
  <c r="J111" i="5"/>
  <c r="J67" i="5"/>
  <c r="J79" i="5"/>
  <c r="J167" i="5"/>
  <c r="J123" i="5"/>
  <c r="J78" i="5"/>
  <c r="J173" i="5"/>
  <c r="J165" i="5"/>
  <c r="J164" i="5"/>
  <c r="J10" i="5"/>
  <c r="J171" i="5"/>
  <c r="J163" i="5"/>
  <c r="J176" i="5"/>
  <c r="J154" i="5"/>
  <c r="J110" i="5"/>
  <c r="J166" i="5"/>
  <c r="J172" i="5"/>
  <c r="J170" i="5"/>
  <c r="J162" i="5"/>
  <c r="J197" i="5"/>
  <c r="J131" i="5"/>
  <c r="J38" i="5"/>
  <c r="J66" i="5"/>
  <c r="J175" i="5"/>
  <c r="J153" i="5"/>
  <c r="J65" i="5"/>
  <c r="J174" i="5"/>
  <c r="J40" i="5"/>
  <c r="J195" i="5"/>
  <c r="J151" i="5"/>
  <c r="J129" i="5"/>
  <c r="J107" i="5"/>
  <c r="J85" i="5"/>
  <c r="J41" i="5"/>
  <c r="J19" i="5"/>
  <c r="J39" i="5"/>
  <c r="J194" i="5"/>
  <c r="J150" i="5"/>
  <c r="J128" i="5"/>
  <c r="J106" i="5"/>
  <c r="J62" i="5"/>
  <c r="J18" i="5"/>
  <c r="J77" i="5"/>
  <c r="J193" i="5"/>
  <c r="J105" i="5"/>
  <c r="J83" i="5"/>
  <c r="J17" i="5"/>
  <c r="J192" i="5"/>
  <c r="J148" i="5"/>
  <c r="J126" i="5"/>
  <c r="J104" i="5"/>
  <c r="J82" i="5"/>
  <c r="J16" i="5"/>
  <c r="J147" i="5"/>
  <c r="J146" i="5"/>
  <c r="J161" i="5"/>
  <c r="J101" i="5"/>
  <c r="J158" i="5"/>
  <c r="J157" i="5"/>
  <c r="J169" i="5"/>
  <c r="J156" i="5"/>
  <c r="J168" i="5"/>
  <c r="J185" i="5"/>
  <c r="J119" i="5"/>
  <c r="J97" i="5"/>
  <c r="J53" i="5"/>
  <c r="J9" i="5"/>
  <c r="J133" i="5"/>
  <c r="J52" i="5"/>
  <c r="J8" i="5"/>
  <c r="J184" i="5"/>
  <c r="J96" i="5"/>
  <c r="J57" i="5"/>
  <c r="J35" i="5"/>
  <c r="J13" i="5"/>
  <c r="J159" i="5"/>
  <c r="J71" i="5"/>
  <c r="J191" i="5"/>
  <c r="J125" i="5"/>
  <c r="J103" i="5"/>
  <c r="J81" i="5"/>
  <c r="J59" i="5"/>
  <c r="J15" i="5"/>
  <c r="J73" i="5"/>
  <c r="J190" i="5"/>
  <c r="J102" i="5"/>
  <c r="J80" i="5"/>
  <c r="J58" i="5"/>
  <c r="J14" i="5"/>
  <c r="J160" i="5"/>
  <c r="J72" i="5"/>
  <c r="J189" i="5"/>
  <c r="J145" i="5"/>
  <c r="J188" i="5"/>
  <c r="J144" i="5"/>
  <c r="J100" i="5"/>
  <c r="J56" i="5"/>
  <c r="J34" i="5"/>
  <c r="J12" i="5"/>
  <c r="J136" i="5"/>
  <c r="J70" i="5"/>
  <c r="J55" i="5"/>
  <c r="J135" i="5"/>
  <c r="J11" i="5"/>
  <c r="J54" i="5"/>
  <c r="J134" i="5"/>
  <c r="J98" i="5"/>
  <c r="J68" i="5"/>
  <c r="J63" i="5"/>
  <c r="J187" i="5"/>
  <c r="J121" i="5"/>
  <c r="J143" i="5"/>
  <c r="J186" i="5"/>
  <c r="J120" i="5"/>
  <c r="J142" i="5"/>
  <c r="J76" i="5"/>
  <c r="J75" i="5"/>
  <c r="J33" i="5"/>
  <c r="J149" i="5"/>
  <c r="J61" i="5"/>
  <c r="J32" i="5"/>
  <c r="J60" i="5"/>
  <c r="J64" i="5"/>
  <c r="J31" i="5"/>
  <c r="J196" i="5"/>
  <c r="J30" i="5"/>
  <c r="J124" i="5"/>
  <c r="J29" i="5"/>
  <c r="J92" i="5"/>
  <c r="J122" i="5"/>
  <c r="J91" i="5"/>
  <c r="J99" i="5"/>
  <c r="J90" i="5"/>
  <c r="J26" i="5"/>
  <c r="J89" i="5"/>
  <c r="J25" i="5"/>
  <c r="J88" i="5"/>
  <c r="J24" i="5"/>
  <c r="J155" i="5"/>
  <c r="J87" i="5"/>
  <c r="J51" i="5"/>
  <c r="J118" i="5"/>
  <c r="J50" i="5"/>
  <c r="J182" i="5"/>
  <c r="J117" i="5"/>
  <c r="J49" i="5"/>
  <c r="J21" i="5"/>
  <c r="J181" i="5"/>
  <c r="J180" i="5"/>
  <c r="J130" i="5"/>
  <c r="J74" i="5"/>
  <c r="J20" i="5"/>
  <c r="J152" i="5"/>
  <c r="J177" i="5"/>
  <c r="J43" i="5"/>
  <c r="J109" i="5"/>
  <c r="J42" i="5"/>
  <c r="J108" i="5"/>
  <c r="J86" i="5"/>
  <c r="J2" i="4"/>
  <c r="G20" i="4" s="1"/>
  <c r="D64" i="4" s="1"/>
  <c r="J4" i="4"/>
  <c r="J13" i="4"/>
  <c r="J3" i="4"/>
  <c r="J11" i="4"/>
  <c r="J10" i="4"/>
  <c r="J9" i="4"/>
  <c r="J6" i="4"/>
  <c r="J5" i="4"/>
  <c r="J8" i="4"/>
  <c r="J7" i="4"/>
  <c r="J12" i="4"/>
  <c r="J15" i="4"/>
  <c r="J14" i="4"/>
  <c r="F44" i="4"/>
  <c r="F45" i="4"/>
  <c r="F46" i="4"/>
  <c r="F43" i="4"/>
  <c r="E44" i="4"/>
  <c r="E45" i="4"/>
  <c r="E46" i="4"/>
  <c r="E43" i="4"/>
  <c r="B18" i="4"/>
  <c r="B20" i="4"/>
  <c r="B19" i="4"/>
  <c r="N22" i="11" l="1"/>
  <c r="N68" i="11"/>
  <c r="L23" i="11"/>
  <c r="M68" i="11"/>
  <c r="L18" i="11"/>
  <c r="M70" i="11"/>
  <c r="L65" i="11"/>
  <c r="N65" i="11"/>
  <c r="L66" i="11"/>
  <c r="L22" i="11"/>
  <c r="M23" i="11"/>
  <c r="M43" i="11"/>
  <c r="L37" i="11"/>
  <c r="L44" i="11"/>
  <c r="M37" i="11"/>
  <c r="M38" i="11"/>
  <c r="M44" i="11"/>
  <c r="N38" i="11"/>
  <c r="L59" i="11"/>
  <c r="L16" i="11"/>
  <c r="M59" i="11"/>
  <c r="M16" i="11"/>
  <c r="L70" i="11"/>
  <c r="L63" i="11"/>
  <c r="N18" i="11"/>
  <c r="N26" i="11"/>
  <c r="N63" i="11"/>
  <c r="M26" i="11"/>
  <c r="M155" i="9"/>
  <c r="L155" i="9"/>
  <c r="M154" i="9"/>
  <c r="M180" i="9"/>
  <c r="M176" i="9"/>
  <c r="L176" i="9"/>
  <c r="L136" i="9"/>
  <c r="L181" i="9"/>
  <c r="M195" i="9"/>
  <c r="L36" i="11"/>
  <c r="M36" i="11"/>
  <c r="L15" i="11"/>
  <c r="L60" i="11"/>
  <c r="M15" i="11"/>
  <c r="M60" i="11"/>
  <c r="L41" i="11"/>
  <c r="L24" i="11"/>
  <c r="N41" i="11"/>
  <c r="L25" i="11"/>
  <c r="N24" i="11"/>
  <c r="L67" i="11"/>
  <c r="N25" i="11"/>
  <c r="L42" i="11"/>
  <c r="M67" i="11"/>
  <c r="M153" i="9"/>
  <c r="L153" i="9"/>
  <c r="M136" i="9"/>
  <c r="L39" i="11"/>
  <c r="L40" i="11"/>
  <c r="N40" i="11"/>
  <c r="L64" i="11"/>
  <c r="N64" i="11"/>
  <c r="M66" i="11"/>
  <c r="L19" i="11"/>
  <c r="N19" i="11"/>
  <c r="L21" i="11"/>
  <c r="N21" i="11"/>
  <c r="L20" i="11"/>
  <c r="M61" i="11"/>
  <c r="N20" i="11"/>
  <c r="H76" i="11" s="1"/>
  <c r="N61" i="11"/>
  <c r="L13" i="11"/>
  <c r="M13" i="11"/>
  <c r="L57" i="11"/>
  <c r="M57" i="11"/>
  <c r="L14" i="11"/>
  <c r="L35" i="11"/>
  <c r="M14" i="11"/>
  <c r="M35" i="11"/>
  <c r="L17" i="11"/>
  <c r="L58" i="11"/>
  <c r="M39" i="11"/>
  <c r="M17" i="11"/>
  <c r="M58" i="11"/>
  <c r="M33" i="11"/>
  <c r="N33" i="11"/>
  <c r="L33" i="11"/>
  <c r="N46" i="11"/>
  <c r="M46" i="11"/>
  <c r="L46" i="11"/>
  <c r="M47" i="11"/>
  <c r="N47" i="11"/>
  <c r="L47" i="11"/>
  <c r="M29" i="11"/>
  <c r="N29" i="11"/>
  <c r="L29" i="11"/>
  <c r="M50" i="11"/>
  <c r="N50" i="11"/>
  <c r="L50" i="11"/>
  <c r="M30" i="11"/>
  <c r="N30" i="11"/>
  <c r="L30" i="11"/>
  <c r="N49" i="11"/>
  <c r="M49" i="11"/>
  <c r="L49" i="11"/>
  <c r="M54" i="11"/>
  <c r="N54" i="11"/>
  <c r="L54" i="11"/>
  <c r="N34" i="11"/>
  <c r="M34" i="11"/>
  <c r="L34" i="11"/>
  <c r="M48" i="11"/>
  <c r="N48" i="11"/>
  <c r="L48" i="11"/>
  <c r="M51" i="11"/>
  <c r="N51" i="11"/>
  <c r="L51" i="11"/>
  <c r="N52" i="11"/>
  <c r="M52" i="11"/>
  <c r="L52" i="11"/>
  <c r="N12" i="11"/>
  <c r="M12" i="11"/>
  <c r="L12" i="11"/>
  <c r="M31" i="11"/>
  <c r="N31" i="11"/>
  <c r="L31" i="11"/>
  <c r="N56" i="11"/>
  <c r="M56" i="11"/>
  <c r="L56" i="11"/>
  <c r="M53" i="11"/>
  <c r="N53" i="11"/>
  <c r="L53" i="11"/>
  <c r="N45" i="11"/>
  <c r="M45" i="11"/>
  <c r="L45" i="11"/>
  <c r="M55" i="11"/>
  <c r="N55" i="11"/>
  <c r="L55" i="11"/>
  <c r="M32" i="11"/>
  <c r="N32" i="11"/>
  <c r="L32" i="11"/>
  <c r="K117" i="5"/>
  <c r="L117" i="5"/>
  <c r="M117" i="5"/>
  <c r="L64" i="5"/>
  <c r="M64" i="5"/>
  <c r="K64" i="5"/>
  <c r="M125" i="5"/>
  <c r="L125" i="5"/>
  <c r="K125" i="5"/>
  <c r="M101" i="5"/>
  <c r="K101" i="5"/>
  <c r="L101" i="5"/>
  <c r="L19" i="5"/>
  <c r="K19" i="5"/>
  <c r="M19" i="5"/>
  <c r="K176" i="5"/>
  <c r="L176" i="5"/>
  <c r="M176" i="5"/>
  <c r="K113" i="5"/>
  <c r="L113" i="5"/>
  <c r="M113" i="5"/>
  <c r="K182" i="5"/>
  <c r="M182" i="5"/>
  <c r="L182" i="5"/>
  <c r="K136" i="5"/>
  <c r="M136" i="5"/>
  <c r="L136" i="5"/>
  <c r="M191" i="5"/>
  <c r="K191" i="5"/>
  <c r="L191" i="5"/>
  <c r="L161" i="5"/>
  <c r="M161" i="5"/>
  <c r="K161" i="5"/>
  <c r="L41" i="5"/>
  <c r="M41" i="5"/>
  <c r="K41" i="5"/>
  <c r="K47" i="5"/>
  <c r="L47" i="5"/>
  <c r="M47" i="5"/>
  <c r="K50" i="5"/>
  <c r="L50" i="5"/>
  <c r="M50" i="5"/>
  <c r="M32" i="5"/>
  <c r="L32" i="5"/>
  <c r="K32" i="5"/>
  <c r="M12" i="5"/>
  <c r="K12" i="5"/>
  <c r="L12" i="5"/>
  <c r="K146" i="5"/>
  <c r="L146" i="5"/>
  <c r="M146" i="5"/>
  <c r="L85" i="5"/>
  <c r="K85" i="5"/>
  <c r="M85" i="5"/>
  <c r="L171" i="5"/>
  <c r="M171" i="5"/>
  <c r="K171" i="5"/>
  <c r="L36" i="5"/>
  <c r="M36" i="5"/>
  <c r="K36" i="5"/>
  <c r="M118" i="5"/>
  <c r="K118" i="5"/>
  <c r="L118" i="5"/>
  <c r="M61" i="5"/>
  <c r="L61" i="5"/>
  <c r="K61" i="5"/>
  <c r="K159" i="5"/>
  <c r="L159" i="5"/>
  <c r="M159" i="5"/>
  <c r="K147" i="5"/>
  <c r="L147" i="5"/>
  <c r="M147" i="5"/>
  <c r="L107" i="5"/>
  <c r="M107" i="5"/>
  <c r="K107" i="5"/>
  <c r="M10" i="5"/>
  <c r="L10" i="5"/>
  <c r="K10" i="5"/>
  <c r="M44" i="5"/>
  <c r="K44" i="5"/>
  <c r="L44" i="5"/>
  <c r="L51" i="5"/>
  <c r="K51" i="5"/>
  <c r="M51" i="5"/>
  <c r="K149" i="5"/>
  <c r="M149" i="5"/>
  <c r="L149" i="5"/>
  <c r="M56" i="5"/>
  <c r="K56" i="5"/>
  <c r="L56" i="5"/>
  <c r="M16" i="5"/>
  <c r="K16" i="5"/>
  <c r="L16" i="5"/>
  <c r="L129" i="5"/>
  <c r="M129" i="5"/>
  <c r="K129" i="5"/>
  <c r="M164" i="5"/>
  <c r="L164" i="5"/>
  <c r="K164" i="5"/>
  <c r="L37" i="5"/>
  <c r="M37" i="5"/>
  <c r="K37" i="5"/>
  <c r="L87" i="5"/>
  <c r="M87" i="5"/>
  <c r="K87" i="5"/>
  <c r="M33" i="5"/>
  <c r="L33" i="5"/>
  <c r="K33" i="5"/>
  <c r="M100" i="5"/>
  <c r="L100" i="5"/>
  <c r="K100" i="5"/>
  <c r="K82" i="5"/>
  <c r="L82" i="5"/>
  <c r="M82" i="5"/>
  <c r="L151" i="5"/>
  <c r="K151" i="5"/>
  <c r="M151" i="5"/>
  <c r="M165" i="5"/>
  <c r="L165" i="5"/>
  <c r="K165" i="5"/>
  <c r="K45" i="5"/>
  <c r="L45" i="5"/>
  <c r="M45" i="5"/>
  <c r="M155" i="5"/>
  <c r="K155" i="5"/>
  <c r="L155" i="5"/>
  <c r="M75" i="5"/>
  <c r="K75" i="5"/>
  <c r="L75" i="5"/>
  <c r="M144" i="5"/>
  <c r="K144" i="5"/>
  <c r="L144" i="5"/>
  <c r="L104" i="5"/>
  <c r="K104" i="5"/>
  <c r="M104" i="5"/>
  <c r="L195" i="5"/>
  <c r="M195" i="5"/>
  <c r="K195" i="5"/>
  <c r="L173" i="5"/>
  <c r="K173" i="5"/>
  <c r="M173" i="5"/>
  <c r="K46" i="5"/>
  <c r="L46" i="5"/>
  <c r="M46" i="5"/>
  <c r="L24" i="5"/>
  <c r="M24" i="5"/>
  <c r="K24" i="5"/>
  <c r="M76" i="5"/>
  <c r="L76" i="5"/>
  <c r="K76" i="5"/>
  <c r="M188" i="5"/>
  <c r="K188" i="5"/>
  <c r="L188" i="5"/>
  <c r="M126" i="5"/>
  <c r="K126" i="5"/>
  <c r="L126" i="5"/>
  <c r="L40" i="5"/>
  <c r="M40" i="5"/>
  <c r="K40" i="5"/>
  <c r="M78" i="5"/>
  <c r="L78" i="5"/>
  <c r="K78" i="5"/>
  <c r="M127" i="5"/>
  <c r="K127" i="5"/>
  <c r="L127" i="5"/>
  <c r="M88" i="5"/>
  <c r="K88" i="5"/>
  <c r="L88" i="5"/>
  <c r="M142" i="5"/>
  <c r="L142" i="5"/>
  <c r="K142" i="5"/>
  <c r="M145" i="5"/>
  <c r="K145" i="5"/>
  <c r="L145" i="5"/>
  <c r="K148" i="5"/>
  <c r="L148" i="5"/>
  <c r="M148" i="5"/>
  <c r="L174" i="5"/>
  <c r="K174" i="5"/>
  <c r="M174" i="5"/>
  <c r="M123" i="5"/>
  <c r="L123" i="5"/>
  <c r="K123" i="5"/>
  <c r="L84" i="5"/>
  <c r="K84" i="5"/>
  <c r="M84" i="5"/>
  <c r="L108" i="5"/>
  <c r="M108" i="5"/>
  <c r="K108" i="5"/>
  <c r="K25" i="5"/>
  <c r="L25" i="5"/>
  <c r="M25" i="5"/>
  <c r="M120" i="5"/>
  <c r="K120" i="5"/>
  <c r="L120" i="5"/>
  <c r="K8" i="5"/>
  <c r="M8" i="5"/>
  <c r="L8" i="5"/>
  <c r="O13" i="5" s="1"/>
  <c r="M192" i="5"/>
  <c r="L192" i="5"/>
  <c r="K192" i="5"/>
  <c r="L65" i="5"/>
  <c r="M65" i="5"/>
  <c r="K65" i="5"/>
  <c r="M167" i="5"/>
  <c r="L167" i="5"/>
  <c r="K167" i="5"/>
  <c r="K48" i="5"/>
  <c r="L48" i="5"/>
  <c r="M48" i="5"/>
  <c r="M89" i="5"/>
  <c r="K89" i="5"/>
  <c r="L89" i="5"/>
  <c r="M186" i="5"/>
  <c r="L186" i="5"/>
  <c r="K186" i="5"/>
  <c r="L52" i="5"/>
  <c r="K52" i="5"/>
  <c r="M52" i="5"/>
  <c r="M17" i="5"/>
  <c r="K17" i="5"/>
  <c r="L17" i="5"/>
  <c r="L153" i="5"/>
  <c r="K153" i="5"/>
  <c r="M153" i="5"/>
  <c r="K28" i="5"/>
  <c r="M28" i="5"/>
  <c r="L28" i="5"/>
  <c r="L109" i="5"/>
  <c r="K109" i="5"/>
  <c r="M109" i="5"/>
  <c r="K26" i="5"/>
  <c r="L26" i="5"/>
  <c r="M26" i="5"/>
  <c r="M143" i="5"/>
  <c r="K143" i="5"/>
  <c r="L143" i="5"/>
  <c r="K160" i="5"/>
  <c r="L160" i="5"/>
  <c r="M160" i="5"/>
  <c r="L133" i="5"/>
  <c r="M133" i="5"/>
  <c r="K133" i="5"/>
  <c r="L175" i="5"/>
  <c r="K175" i="5"/>
  <c r="M175" i="5"/>
  <c r="M67" i="5"/>
  <c r="K67" i="5"/>
  <c r="L67" i="5"/>
  <c r="K94" i="5"/>
  <c r="M94" i="5"/>
  <c r="L94" i="5"/>
  <c r="L43" i="5"/>
  <c r="M43" i="5"/>
  <c r="K43" i="5"/>
  <c r="M90" i="5"/>
  <c r="K90" i="5"/>
  <c r="L90" i="5"/>
  <c r="M121" i="5"/>
  <c r="K121" i="5"/>
  <c r="L121" i="5"/>
  <c r="M14" i="5"/>
  <c r="K14" i="5"/>
  <c r="L14" i="5"/>
  <c r="L105" i="5"/>
  <c r="M105" i="5"/>
  <c r="K105" i="5"/>
  <c r="M66" i="5"/>
  <c r="L66" i="5"/>
  <c r="K66" i="5"/>
  <c r="K111" i="5"/>
  <c r="L111" i="5"/>
  <c r="M111" i="5"/>
  <c r="K116" i="5"/>
  <c r="L116" i="5"/>
  <c r="M116" i="5"/>
  <c r="K177" i="5"/>
  <c r="L177" i="5"/>
  <c r="M177" i="5"/>
  <c r="M99" i="5"/>
  <c r="L99" i="5"/>
  <c r="K99" i="5"/>
  <c r="M187" i="5"/>
  <c r="L187" i="5"/>
  <c r="K187" i="5"/>
  <c r="M58" i="5"/>
  <c r="K58" i="5"/>
  <c r="L58" i="5"/>
  <c r="M53" i="5"/>
  <c r="L53" i="5"/>
  <c r="K53" i="5"/>
  <c r="L38" i="5"/>
  <c r="M38" i="5"/>
  <c r="K38" i="5"/>
  <c r="K69" i="5"/>
  <c r="M69" i="5"/>
  <c r="L69" i="5"/>
  <c r="K138" i="5"/>
  <c r="L138" i="5"/>
  <c r="M138" i="5"/>
  <c r="L152" i="5"/>
  <c r="K152" i="5"/>
  <c r="M152" i="5"/>
  <c r="K91" i="5"/>
  <c r="M91" i="5"/>
  <c r="L91" i="5"/>
  <c r="L63" i="5"/>
  <c r="M63" i="5"/>
  <c r="K63" i="5"/>
  <c r="K80" i="5"/>
  <c r="L80" i="5"/>
  <c r="M80" i="5"/>
  <c r="M77" i="5"/>
  <c r="L77" i="5"/>
  <c r="K77" i="5"/>
  <c r="L131" i="5"/>
  <c r="M131" i="5"/>
  <c r="K131" i="5"/>
  <c r="K179" i="5"/>
  <c r="L179" i="5"/>
  <c r="M179" i="5"/>
  <c r="M95" i="5"/>
  <c r="L95" i="5"/>
  <c r="K95" i="5"/>
  <c r="L20" i="5"/>
  <c r="K20" i="5"/>
  <c r="M20" i="5"/>
  <c r="M68" i="5"/>
  <c r="L68" i="5"/>
  <c r="K68" i="5"/>
  <c r="L102" i="5"/>
  <c r="K102" i="5"/>
  <c r="M102" i="5"/>
  <c r="L18" i="5"/>
  <c r="M18" i="5"/>
  <c r="K18" i="5"/>
  <c r="K114" i="5"/>
  <c r="L114" i="5"/>
  <c r="M114" i="5"/>
  <c r="L139" i="5"/>
  <c r="K139" i="5"/>
  <c r="M139" i="5"/>
  <c r="L74" i="5"/>
  <c r="K74" i="5"/>
  <c r="M74" i="5"/>
  <c r="K92" i="5"/>
  <c r="M92" i="5"/>
  <c r="L92" i="5"/>
  <c r="M98" i="5"/>
  <c r="L98" i="5"/>
  <c r="K98" i="5"/>
  <c r="K190" i="5"/>
  <c r="M190" i="5"/>
  <c r="L190" i="5"/>
  <c r="L62" i="5"/>
  <c r="M62" i="5"/>
  <c r="K62" i="5"/>
  <c r="M162" i="5"/>
  <c r="L162" i="5"/>
  <c r="K162" i="5"/>
  <c r="K27" i="5"/>
  <c r="L27" i="5"/>
  <c r="M27" i="5"/>
  <c r="K183" i="5"/>
  <c r="M183" i="5"/>
  <c r="L183" i="5"/>
  <c r="L130" i="5"/>
  <c r="M130" i="5"/>
  <c r="K130" i="5"/>
  <c r="M29" i="5"/>
  <c r="K29" i="5"/>
  <c r="L29" i="5"/>
  <c r="L134" i="5"/>
  <c r="M134" i="5"/>
  <c r="K134" i="5"/>
  <c r="L73" i="5"/>
  <c r="K73" i="5"/>
  <c r="M73" i="5"/>
  <c r="L168" i="5"/>
  <c r="M168" i="5"/>
  <c r="K168" i="5"/>
  <c r="L170" i="5"/>
  <c r="M170" i="5"/>
  <c r="K170" i="5"/>
  <c r="K93" i="5"/>
  <c r="M93" i="5"/>
  <c r="L93" i="5"/>
  <c r="L140" i="5"/>
  <c r="K140" i="5"/>
  <c r="M140" i="5"/>
  <c r="M124" i="5"/>
  <c r="L124" i="5"/>
  <c r="K124" i="5"/>
  <c r="M15" i="5"/>
  <c r="K15" i="5"/>
  <c r="L15" i="5"/>
  <c r="M156" i="5"/>
  <c r="K156" i="5"/>
  <c r="L156" i="5"/>
  <c r="L128" i="5"/>
  <c r="M128" i="5"/>
  <c r="K128" i="5"/>
  <c r="K115" i="5"/>
  <c r="L115" i="5"/>
  <c r="M115" i="5"/>
  <c r="M141" i="5"/>
  <c r="L141" i="5"/>
  <c r="K141" i="5"/>
  <c r="M30" i="5"/>
  <c r="L30" i="5"/>
  <c r="K30" i="5"/>
  <c r="K110" i="5"/>
  <c r="L110" i="5"/>
  <c r="M110" i="5"/>
  <c r="K70" i="5"/>
  <c r="M70" i="5"/>
  <c r="L70" i="5"/>
  <c r="M60" i="5"/>
  <c r="L60" i="5"/>
  <c r="K60" i="5"/>
  <c r="M163" i="5"/>
  <c r="L163" i="5"/>
  <c r="K163" i="5"/>
  <c r="K71" i="5"/>
  <c r="M71" i="5"/>
  <c r="L71" i="5"/>
  <c r="M34" i="5"/>
  <c r="L34" i="5"/>
  <c r="K34" i="5"/>
  <c r="M13" i="5"/>
  <c r="K13" i="5"/>
  <c r="L13" i="5"/>
  <c r="M35" i="5"/>
  <c r="L35" i="5"/>
  <c r="K35" i="5"/>
  <c r="M57" i="5"/>
  <c r="K57" i="5"/>
  <c r="L57" i="5"/>
  <c r="M96" i="5"/>
  <c r="L96" i="5"/>
  <c r="K96" i="5"/>
  <c r="L86" i="5"/>
  <c r="K86" i="5"/>
  <c r="M86" i="5"/>
  <c r="L184" i="5"/>
  <c r="K184" i="5"/>
  <c r="M184" i="5"/>
  <c r="M189" i="5"/>
  <c r="K189" i="5"/>
  <c r="L189" i="5"/>
  <c r="L42" i="5"/>
  <c r="M42" i="5"/>
  <c r="K42" i="5"/>
  <c r="K72" i="5"/>
  <c r="L72" i="5"/>
  <c r="M72" i="5"/>
  <c r="M79" i="5"/>
  <c r="L79" i="5"/>
  <c r="K79" i="5"/>
  <c r="K83" i="5"/>
  <c r="L83" i="5"/>
  <c r="M83" i="5"/>
  <c r="M9" i="5"/>
  <c r="O14" i="5" s="1"/>
  <c r="L9" i="5"/>
  <c r="K9" i="5"/>
  <c r="M193" i="5"/>
  <c r="L193" i="5"/>
  <c r="K193" i="5"/>
  <c r="M97" i="5"/>
  <c r="L97" i="5"/>
  <c r="K97" i="5"/>
  <c r="M122" i="5"/>
  <c r="K122" i="5"/>
  <c r="L122" i="5"/>
  <c r="M119" i="5"/>
  <c r="K119" i="5"/>
  <c r="L119" i="5"/>
  <c r="L197" i="5"/>
  <c r="M197" i="5"/>
  <c r="K197" i="5"/>
  <c r="M185" i="5"/>
  <c r="L185" i="5"/>
  <c r="K185" i="5"/>
  <c r="L106" i="5"/>
  <c r="M106" i="5"/>
  <c r="K106" i="5"/>
  <c r="K180" i="5"/>
  <c r="L180" i="5"/>
  <c r="M180" i="5"/>
  <c r="M54" i="5"/>
  <c r="K54" i="5"/>
  <c r="L54" i="5"/>
  <c r="L172" i="5"/>
  <c r="M172" i="5"/>
  <c r="K172" i="5"/>
  <c r="K181" i="5"/>
  <c r="M181" i="5"/>
  <c r="L181" i="5"/>
  <c r="M11" i="5"/>
  <c r="K11" i="5"/>
  <c r="L11" i="5"/>
  <c r="M59" i="5"/>
  <c r="L59" i="5"/>
  <c r="K59" i="5"/>
  <c r="L169" i="5"/>
  <c r="M169" i="5"/>
  <c r="K169" i="5"/>
  <c r="L150" i="5"/>
  <c r="K150" i="5"/>
  <c r="M150" i="5"/>
  <c r="M166" i="5"/>
  <c r="L166" i="5"/>
  <c r="K166" i="5"/>
  <c r="K137" i="5"/>
  <c r="M137" i="5"/>
  <c r="L137" i="5"/>
  <c r="L22" i="5"/>
  <c r="K22" i="5"/>
  <c r="M22" i="5"/>
  <c r="L21" i="5"/>
  <c r="K21" i="5"/>
  <c r="M21" i="5"/>
  <c r="L196" i="5"/>
  <c r="M196" i="5"/>
  <c r="K196" i="5"/>
  <c r="K135" i="5"/>
  <c r="L135" i="5"/>
  <c r="M135" i="5"/>
  <c r="K81" i="5"/>
  <c r="L81" i="5"/>
  <c r="M81" i="5"/>
  <c r="K157" i="5"/>
  <c r="M157" i="5"/>
  <c r="L157" i="5"/>
  <c r="L194" i="5"/>
  <c r="M194" i="5"/>
  <c r="K194" i="5"/>
  <c r="K112" i="5"/>
  <c r="L112" i="5"/>
  <c r="M112" i="5"/>
  <c r="L132" i="5"/>
  <c r="M132" i="5"/>
  <c r="K132" i="5"/>
  <c r="K49" i="5"/>
  <c r="L49" i="5"/>
  <c r="M49" i="5"/>
  <c r="M31" i="5"/>
  <c r="L31" i="5"/>
  <c r="K31" i="5"/>
  <c r="M55" i="5"/>
  <c r="K55" i="5"/>
  <c r="L55" i="5"/>
  <c r="L103" i="5"/>
  <c r="K103" i="5"/>
  <c r="M103" i="5"/>
  <c r="K158" i="5"/>
  <c r="L158" i="5"/>
  <c r="M158" i="5"/>
  <c r="L39" i="5"/>
  <c r="M39" i="5"/>
  <c r="K39" i="5"/>
  <c r="M154" i="5"/>
  <c r="K154" i="5"/>
  <c r="L154" i="5"/>
  <c r="K178" i="5"/>
  <c r="L178" i="5"/>
  <c r="M178" i="5"/>
  <c r="M23" i="5"/>
  <c r="K23" i="5"/>
  <c r="L23" i="5"/>
  <c r="M174" i="9"/>
  <c r="M129" i="9"/>
  <c r="N129" i="9"/>
  <c r="G226" i="9" s="1"/>
  <c r="M199" i="9"/>
  <c r="L174" i="9"/>
  <c r="L149" i="9"/>
  <c r="M149" i="9"/>
  <c r="L203" i="9"/>
  <c r="M203" i="9"/>
  <c r="L165" i="9"/>
  <c r="M165" i="9"/>
  <c r="L192" i="9"/>
  <c r="M192" i="9"/>
  <c r="L182" i="9"/>
  <c r="M182" i="9"/>
  <c r="L133" i="9"/>
  <c r="M133" i="9"/>
  <c r="L209" i="9"/>
  <c r="M209" i="9"/>
  <c r="L214" i="9"/>
  <c r="M214" i="9"/>
  <c r="L215" i="9"/>
  <c r="M215" i="9"/>
  <c r="L220" i="9"/>
  <c r="M220" i="9"/>
  <c r="L122" i="9"/>
  <c r="M122" i="9"/>
  <c r="L172" i="9"/>
  <c r="M172" i="9"/>
  <c r="L171" i="9"/>
  <c r="M171" i="9"/>
  <c r="L162" i="9"/>
  <c r="M162" i="9"/>
  <c r="L138" i="9"/>
  <c r="M138" i="9"/>
  <c r="L139" i="9"/>
  <c r="M139" i="9"/>
  <c r="L166" i="9"/>
  <c r="M166" i="9"/>
  <c r="L221" i="9"/>
  <c r="M221" i="9"/>
  <c r="L183" i="9"/>
  <c r="M183" i="9"/>
  <c r="L217" i="9"/>
  <c r="M217" i="9"/>
  <c r="L204" i="9"/>
  <c r="M204" i="9"/>
  <c r="L205" i="9"/>
  <c r="M205" i="9"/>
  <c r="L152" i="9"/>
  <c r="M152" i="9"/>
  <c r="L211" i="9"/>
  <c r="M211" i="9"/>
  <c r="L132" i="9"/>
  <c r="M132" i="9"/>
  <c r="L200" i="9"/>
  <c r="M200" i="9"/>
  <c r="L140" i="9"/>
  <c r="M140" i="9"/>
  <c r="L145" i="9"/>
  <c r="M145" i="9"/>
  <c r="L189" i="9"/>
  <c r="M189" i="9"/>
  <c r="L184" i="9"/>
  <c r="M184" i="9"/>
  <c r="L167" i="9"/>
  <c r="M167" i="9"/>
  <c r="L178" i="9"/>
  <c r="M178" i="9"/>
  <c r="L206" i="9"/>
  <c r="M206" i="9"/>
  <c r="L124" i="9"/>
  <c r="M124" i="9"/>
  <c r="L121" i="9"/>
  <c r="M121" i="9"/>
  <c r="L219" i="9"/>
  <c r="M219" i="9"/>
  <c r="L146" i="9"/>
  <c r="M146" i="9"/>
  <c r="L156" i="9"/>
  <c r="M156" i="9"/>
  <c r="L175" i="9"/>
  <c r="M175" i="9"/>
  <c r="L168" i="9"/>
  <c r="M168" i="9"/>
  <c r="L194" i="9"/>
  <c r="M194" i="9"/>
  <c r="L161" i="9"/>
  <c r="M161" i="9"/>
  <c r="L190" i="9"/>
  <c r="M190" i="9"/>
  <c r="L179" i="9"/>
  <c r="M179" i="9"/>
  <c r="L141" i="9"/>
  <c r="M141" i="9"/>
  <c r="L212" i="9"/>
  <c r="M212" i="9"/>
  <c r="L151" i="9"/>
  <c r="M151" i="9"/>
  <c r="L163" i="9"/>
  <c r="M163" i="9"/>
  <c r="L142" i="9"/>
  <c r="M142" i="9"/>
  <c r="L191" i="9"/>
  <c r="M191" i="9"/>
  <c r="L128" i="9"/>
  <c r="M128" i="9"/>
  <c r="L157" i="9"/>
  <c r="M157" i="9"/>
  <c r="L185" i="9"/>
  <c r="M185" i="9"/>
  <c r="L126" i="9"/>
  <c r="M126" i="9"/>
  <c r="L147" i="9"/>
  <c r="M147" i="9"/>
  <c r="L213" i="9"/>
  <c r="M213" i="9"/>
  <c r="L208" i="9"/>
  <c r="M208" i="9"/>
  <c r="L207" i="9"/>
  <c r="M207" i="9"/>
  <c r="L123" i="9"/>
  <c r="M123" i="9"/>
  <c r="L216" i="9"/>
  <c r="M216" i="9"/>
  <c r="L187" i="9"/>
  <c r="M187" i="9"/>
  <c r="L134" i="9"/>
  <c r="M134" i="9"/>
  <c r="L164" i="9"/>
  <c r="M164" i="9"/>
  <c r="L130" i="9"/>
  <c r="M130" i="9"/>
  <c r="L169" i="9"/>
  <c r="M169" i="9"/>
  <c r="L160" i="9"/>
  <c r="M160" i="9"/>
  <c r="L158" i="9"/>
  <c r="M158" i="9"/>
  <c r="L186" i="9"/>
  <c r="M186" i="9"/>
  <c r="L196" i="9"/>
  <c r="M196" i="9"/>
  <c r="L218" i="9"/>
  <c r="M218" i="9"/>
  <c r="L170" i="9"/>
  <c r="M170" i="9"/>
  <c r="L125" i="9"/>
  <c r="M125" i="9"/>
  <c r="L150" i="9"/>
  <c r="M150" i="9"/>
  <c r="L144" i="9"/>
  <c r="M144" i="9"/>
  <c r="L210" i="9"/>
  <c r="M210" i="9"/>
  <c r="L201" i="9"/>
  <c r="M201" i="9"/>
  <c r="L188" i="9"/>
  <c r="M188" i="9"/>
  <c r="L127" i="9"/>
  <c r="M127" i="9"/>
  <c r="L137" i="9"/>
  <c r="M137" i="9"/>
  <c r="L202" i="9"/>
  <c r="M202" i="9"/>
  <c r="L131" i="9"/>
  <c r="M131" i="9"/>
  <c r="L148" i="9"/>
  <c r="M148" i="9"/>
  <c r="L193" i="9"/>
  <c r="M193" i="9"/>
  <c r="L159" i="9"/>
  <c r="M159" i="9"/>
  <c r="L143" i="9"/>
  <c r="M143" i="9"/>
  <c r="L197" i="9"/>
  <c r="M197" i="9"/>
  <c r="L173" i="9"/>
  <c r="M173" i="9"/>
  <c r="L33" i="9"/>
  <c r="M33" i="9"/>
  <c r="L103" i="9"/>
  <c r="M103" i="9"/>
  <c r="L53" i="9"/>
  <c r="M53" i="9"/>
  <c r="L70" i="9"/>
  <c r="M70" i="9"/>
  <c r="L59" i="9"/>
  <c r="M59" i="9"/>
  <c r="L11" i="9"/>
  <c r="M11" i="9"/>
  <c r="L94" i="9"/>
  <c r="M94" i="9"/>
  <c r="L55" i="9"/>
  <c r="M55" i="9"/>
  <c r="L43" i="9"/>
  <c r="M43" i="9"/>
  <c r="L34" i="9"/>
  <c r="M34" i="9"/>
  <c r="L30" i="9"/>
  <c r="M30" i="9"/>
  <c r="L45" i="9"/>
  <c r="M45" i="9"/>
  <c r="L51" i="9"/>
  <c r="M51" i="9"/>
  <c r="L107" i="9"/>
  <c r="M107" i="9"/>
  <c r="L76" i="9"/>
  <c r="M76" i="9"/>
  <c r="L91" i="9"/>
  <c r="M91" i="9"/>
  <c r="L100" i="9"/>
  <c r="M100" i="9"/>
  <c r="L58" i="9"/>
  <c r="M58" i="9"/>
  <c r="L10" i="9"/>
  <c r="M10" i="9"/>
  <c r="L8" i="9"/>
  <c r="G111" i="9" s="1"/>
  <c r="M8" i="9"/>
  <c r="L61" i="9"/>
  <c r="M61" i="9"/>
  <c r="L79" i="9"/>
  <c r="M79" i="9"/>
  <c r="L89" i="9"/>
  <c r="M89" i="9"/>
  <c r="L54" i="9"/>
  <c r="M54" i="9"/>
  <c r="L35" i="9"/>
  <c r="M35" i="9"/>
  <c r="L75" i="9"/>
  <c r="M75" i="9"/>
  <c r="L44" i="9"/>
  <c r="M44" i="9"/>
  <c r="L20" i="9"/>
  <c r="M20" i="9"/>
  <c r="L64" i="9"/>
  <c r="M64" i="9"/>
  <c r="L106" i="9"/>
  <c r="M106" i="9"/>
  <c r="L38" i="9"/>
  <c r="M38" i="9"/>
  <c r="L42" i="9"/>
  <c r="M42" i="9"/>
  <c r="L73" i="9"/>
  <c r="M73" i="9"/>
  <c r="L16" i="9"/>
  <c r="M16" i="9"/>
  <c r="L78" i="9"/>
  <c r="M78" i="9"/>
  <c r="L14" i="9"/>
  <c r="M14" i="9"/>
  <c r="L41" i="9"/>
  <c r="M41" i="9"/>
  <c r="L71" i="9"/>
  <c r="M71" i="9"/>
  <c r="L93" i="9"/>
  <c r="M93" i="9"/>
  <c r="L92" i="9"/>
  <c r="M92" i="9"/>
  <c r="L17" i="9"/>
  <c r="M17" i="9"/>
  <c r="L23" i="9"/>
  <c r="M23" i="9"/>
  <c r="L99" i="9"/>
  <c r="M99" i="9"/>
  <c r="L12" i="9"/>
  <c r="M12" i="9"/>
  <c r="L46" i="9"/>
  <c r="M46" i="9"/>
  <c r="L63" i="9"/>
  <c r="M63" i="9"/>
  <c r="L82" i="9"/>
  <c r="M82" i="9"/>
  <c r="L80" i="9"/>
  <c r="M80" i="9"/>
  <c r="L96" i="9"/>
  <c r="M96" i="9"/>
  <c r="L86" i="9"/>
  <c r="M86" i="9"/>
  <c r="L60" i="9"/>
  <c r="M60" i="9"/>
  <c r="L56" i="9"/>
  <c r="M56" i="9"/>
  <c r="L22" i="9"/>
  <c r="M22" i="9"/>
  <c r="L68" i="9"/>
  <c r="M68" i="9"/>
  <c r="L19" i="9"/>
  <c r="M19" i="9"/>
  <c r="L32" i="9"/>
  <c r="M32" i="9"/>
  <c r="L74" i="9"/>
  <c r="M74" i="9"/>
  <c r="L105" i="9"/>
  <c r="M105" i="9"/>
  <c r="L83" i="9"/>
  <c r="M83" i="9"/>
  <c r="L65" i="9"/>
  <c r="M65" i="9"/>
  <c r="L77" i="9"/>
  <c r="M77" i="9"/>
  <c r="L37" i="9"/>
  <c r="M37" i="9"/>
  <c r="L57" i="9"/>
  <c r="M57" i="9"/>
  <c r="L40" i="9"/>
  <c r="M40" i="9"/>
  <c r="L87" i="9"/>
  <c r="M87" i="9"/>
  <c r="L108" i="9"/>
  <c r="M108" i="9"/>
  <c r="L29" i="9"/>
  <c r="M29" i="9"/>
  <c r="L47" i="9"/>
  <c r="M47" i="9"/>
  <c r="L15" i="9"/>
  <c r="M15" i="9"/>
  <c r="L85" i="9"/>
  <c r="M85" i="9"/>
  <c r="L81" i="9"/>
  <c r="M81" i="9"/>
  <c r="L48" i="9"/>
  <c r="M48" i="9"/>
  <c r="L104" i="9"/>
  <c r="M104" i="9"/>
  <c r="L69" i="9"/>
  <c r="M69" i="9"/>
  <c r="L39" i="9"/>
  <c r="M39" i="9"/>
  <c r="L21" i="9"/>
  <c r="M21" i="9"/>
  <c r="L66" i="9"/>
  <c r="M66" i="9"/>
  <c r="L95" i="9"/>
  <c r="M95" i="9"/>
  <c r="L88" i="9"/>
  <c r="M88" i="9"/>
  <c r="L27" i="9"/>
  <c r="M27" i="9"/>
  <c r="L9" i="9"/>
  <c r="M9" i="9"/>
  <c r="L72" i="9"/>
  <c r="M72" i="9"/>
  <c r="L62" i="9"/>
  <c r="M62" i="9"/>
  <c r="L18" i="9"/>
  <c r="M18" i="9"/>
  <c r="L52" i="9"/>
  <c r="M52" i="9"/>
  <c r="L97" i="9"/>
  <c r="M97" i="9"/>
  <c r="L90" i="9"/>
  <c r="M90" i="9"/>
  <c r="L98" i="9"/>
  <c r="M98" i="9"/>
  <c r="L25" i="9"/>
  <c r="M25" i="9"/>
  <c r="L50" i="9"/>
  <c r="M50" i="9"/>
  <c r="L36" i="9"/>
  <c r="M36" i="9"/>
  <c r="L102" i="9"/>
  <c r="M102" i="9"/>
  <c r="L84" i="9"/>
  <c r="M84" i="9"/>
  <c r="L49" i="9"/>
  <c r="M49" i="9"/>
  <c r="L28" i="9"/>
  <c r="M28" i="9"/>
  <c r="L67" i="9"/>
  <c r="M67" i="9"/>
  <c r="L26" i="9"/>
  <c r="M26" i="9"/>
  <c r="L101" i="9"/>
  <c r="M101" i="9"/>
  <c r="L31" i="9"/>
  <c r="M31" i="9"/>
  <c r="L24" i="9"/>
  <c r="M24" i="9"/>
  <c r="L13" i="9"/>
  <c r="M13" i="9"/>
  <c r="D65" i="4"/>
  <c r="G19" i="4"/>
  <c r="G18" i="4"/>
  <c r="E47" i="4"/>
  <c r="D49" i="4" s="1"/>
  <c r="F33" i="4"/>
  <c r="F47" i="4"/>
  <c r="E33" i="4"/>
  <c r="H74" i="11" l="1"/>
  <c r="G225" i="9"/>
  <c r="H72" i="11"/>
  <c r="F199" i="5"/>
  <c r="G223" i="9"/>
  <c r="C35" i="4"/>
  <c r="D50" i="4"/>
  <c r="C36" i="4"/>
</calcChain>
</file>

<file path=xl/sharedStrings.xml><?xml version="1.0" encoding="utf-8"?>
<sst xmlns="http://schemas.openxmlformats.org/spreadsheetml/2006/main" count="2437" uniqueCount="430">
  <si>
    <t>City</t>
  </si>
  <si>
    <t>County</t>
  </si>
  <si>
    <t>Latitude</t>
  </si>
  <si>
    <t>Longitude</t>
  </si>
  <si>
    <t>Barnstable</t>
  </si>
  <si>
    <t>Bourne</t>
  </si>
  <si>
    <t>Brewster</t>
  </si>
  <si>
    <t>Chatham</t>
  </si>
  <si>
    <t>Dennis</t>
  </si>
  <si>
    <t>Eastham</t>
  </si>
  <si>
    <t>Falmouth</t>
  </si>
  <si>
    <t>Harwich</t>
  </si>
  <si>
    <t>Mashpee</t>
  </si>
  <si>
    <t>Orleans</t>
  </si>
  <si>
    <t>Provincetown</t>
  </si>
  <si>
    <t>Sandwich</t>
  </si>
  <si>
    <t>Truro</t>
  </si>
  <si>
    <t>Wellfleet</t>
  </si>
  <si>
    <t>Yarmouth</t>
  </si>
  <si>
    <t>Adams</t>
  </si>
  <si>
    <t>Berkshire</t>
  </si>
  <si>
    <t>Alford</t>
  </si>
  <si>
    <t>Becket</t>
  </si>
  <si>
    <t>Cheshire</t>
  </si>
  <si>
    <t>Clarksburg</t>
  </si>
  <si>
    <t>Dalton</t>
  </si>
  <si>
    <t>Egremont</t>
  </si>
  <si>
    <t>Florida</t>
  </si>
  <si>
    <t>Great Barrington</t>
  </si>
  <si>
    <t>Hancock</t>
  </si>
  <si>
    <t>Hinsdale</t>
  </si>
  <si>
    <t>Lanesborough</t>
  </si>
  <si>
    <t>Lee</t>
  </si>
  <si>
    <t>Lenox</t>
  </si>
  <si>
    <t>Monterey</t>
  </si>
  <si>
    <t>Mount Washington</t>
  </si>
  <si>
    <t>New Ashford</t>
  </si>
  <si>
    <t>New Marlborough</t>
  </si>
  <si>
    <t>North Adams</t>
  </si>
  <si>
    <t>Otis</t>
  </si>
  <si>
    <t>Peru</t>
  </si>
  <si>
    <t>Pittsfield</t>
  </si>
  <si>
    <t>Richmond</t>
  </si>
  <si>
    <t>Sandisfield</t>
  </si>
  <si>
    <t>Savoy</t>
  </si>
  <si>
    <t>Sheffield</t>
  </si>
  <si>
    <t>Stockbridge</t>
  </si>
  <si>
    <t>Tyringham</t>
  </si>
  <si>
    <t>Washington</t>
  </si>
  <si>
    <t>West Stockbridge</t>
  </si>
  <si>
    <t>Williamstown</t>
  </si>
  <si>
    <t>Windsor</t>
  </si>
  <si>
    <t>Acushnet</t>
  </si>
  <si>
    <t>Bristol</t>
  </si>
  <si>
    <t>Attleboro</t>
  </si>
  <si>
    <t>Berkley</t>
  </si>
  <si>
    <t>Dartmouth</t>
  </si>
  <si>
    <t>Dighton</t>
  </si>
  <si>
    <t>Easton</t>
  </si>
  <si>
    <t>Fairhaven</t>
  </si>
  <si>
    <t>Fall River</t>
  </si>
  <si>
    <t>Freetown</t>
  </si>
  <si>
    <t>Mansfield</t>
  </si>
  <si>
    <t>New Bedford</t>
  </si>
  <si>
    <t>North Attleborough</t>
  </si>
  <si>
    <t>Norton</t>
  </si>
  <si>
    <t>Raynham</t>
  </si>
  <si>
    <t>Rehoboth</t>
  </si>
  <si>
    <t>Seekonk</t>
  </si>
  <si>
    <t>Somerset</t>
  </si>
  <si>
    <t>Swansea</t>
  </si>
  <si>
    <t>Taunton</t>
  </si>
  <si>
    <t>Westport</t>
  </si>
  <si>
    <t>Aquinnah</t>
  </si>
  <si>
    <t>Dukes</t>
  </si>
  <si>
    <t>Chilmark</t>
  </si>
  <si>
    <t>Edgartown</t>
  </si>
  <si>
    <t>Gosnold</t>
  </si>
  <si>
    <t>Oak Bluffs</t>
  </si>
  <si>
    <t>Tisbury</t>
  </si>
  <si>
    <t>West Tisbury</t>
  </si>
  <si>
    <t>Amesbury</t>
  </si>
  <si>
    <t>Essex</t>
  </si>
  <si>
    <t>Andover</t>
  </si>
  <si>
    <t>Beverly</t>
  </si>
  <si>
    <t>Boxford</t>
  </si>
  <si>
    <t>Danvers</t>
  </si>
  <si>
    <t>Georgetown</t>
  </si>
  <si>
    <t>Gloucester</t>
  </si>
  <si>
    <t>Groveland</t>
  </si>
  <si>
    <t>Hamilton</t>
  </si>
  <si>
    <t>Haverhill</t>
  </si>
  <si>
    <t>Ipswich</t>
  </si>
  <si>
    <t>Lawrence</t>
  </si>
  <si>
    <t>Lynn</t>
  </si>
  <si>
    <t>Lynnfield</t>
  </si>
  <si>
    <t>Manchester by the Sea</t>
  </si>
  <si>
    <t>Marblehead</t>
  </si>
  <si>
    <t>Merrimac</t>
  </si>
  <si>
    <t>Methuen</t>
  </si>
  <si>
    <t>Middleton</t>
  </si>
  <si>
    <t>Nahant</t>
  </si>
  <si>
    <t>Newbury</t>
  </si>
  <si>
    <t>Newburyport</t>
  </si>
  <si>
    <t>North Andover</t>
  </si>
  <si>
    <t>Peabody</t>
  </si>
  <si>
    <t>Rockport</t>
  </si>
  <si>
    <t>Rowley</t>
  </si>
  <si>
    <t>Salem</t>
  </si>
  <si>
    <t>Salisbury</t>
  </si>
  <si>
    <t>Saugus</t>
  </si>
  <si>
    <t>Swampscott</t>
  </si>
  <si>
    <t>Topsfield</t>
  </si>
  <si>
    <t>Wenham</t>
  </si>
  <si>
    <t>West Newbury</t>
  </si>
  <si>
    <t>Ashfield</t>
  </si>
  <si>
    <t>Franklin</t>
  </si>
  <si>
    <t>Bernardston</t>
  </si>
  <si>
    <t>Buckland</t>
  </si>
  <si>
    <t>Charlemont</t>
  </si>
  <si>
    <t>Colrain</t>
  </si>
  <si>
    <t>Conway</t>
  </si>
  <si>
    <t>Deerfield</t>
  </si>
  <si>
    <t>Erving</t>
  </si>
  <si>
    <t>Gill</t>
  </si>
  <si>
    <t>Greenfield</t>
  </si>
  <si>
    <t>Hawley</t>
  </si>
  <si>
    <t>Heath</t>
  </si>
  <si>
    <t>Leverett</t>
  </si>
  <si>
    <t>Leyden</t>
  </si>
  <si>
    <t>Monroe</t>
  </si>
  <si>
    <t>Montague</t>
  </si>
  <si>
    <t>New Salem</t>
  </si>
  <si>
    <t>Northfield</t>
  </si>
  <si>
    <t>Orange</t>
  </si>
  <si>
    <t>Rowe</t>
  </si>
  <si>
    <t>Shelburne</t>
  </si>
  <si>
    <t>Shutesbury</t>
  </si>
  <si>
    <t>Sunderland</t>
  </si>
  <si>
    <t>Warwick</t>
  </si>
  <si>
    <t>Wendell</t>
  </si>
  <si>
    <t>Whately</t>
  </si>
  <si>
    <t>Agawam</t>
  </si>
  <si>
    <t>Hampden</t>
  </si>
  <si>
    <t>Blandford</t>
  </si>
  <si>
    <t>Brimfield</t>
  </si>
  <si>
    <t>Chester</t>
  </si>
  <si>
    <t>Chicopee</t>
  </si>
  <si>
    <t>East Longmeadow</t>
  </si>
  <si>
    <t>Granville</t>
  </si>
  <si>
    <t>Holland</t>
  </si>
  <si>
    <t>Holyoke</t>
  </si>
  <si>
    <t>Longmeadow</t>
  </si>
  <si>
    <t>Ludlow</t>
  </si>
  <si>
    <t>Monson</t>
  </si>
  <si>
    <t>Montgomery</t>
  </si>
  <si>
    <t>Palmer</t>
  </si>
  <si>
    <t>Russell</t>
  </si>
  <si>
    <t>Southwick</t>
  </si>
  <si>
    <t>Springfield</t>
  </si>
  <si>
    <t>Tolland</t>
  </si>
  <si>
    <t>Wales</t>
  </si>
  <si>
    <t>West Springfield</t>
  </si>
  <si>
    <t>Westfield</t>
  </si>
  <si>
    <t>Wilbraham</t>
  </si>
  <si>
    <t>Amherst</t>
  </si>
  <si>
    <t>Hampshire</t>
  </si>
  <si>
    <t>Belchertown</t>
  </si>
  <si>
    <t>Chesterfield</t>
  </si>
  <si>
    <t>Cummington</t>
  </si>
  <si>
    <t>Easthampton</t>
  </si>
  <si>
    <t>Goshen</t>
  </si>
  <si>
    <t>Granby</t>
  </si>
  <si>
    <t>Hadley</t>
  </si>
  <si>
    <t>Hatfield</t>
  </si>
  <si>
    <t>Huntington</t>
  </si>
  <si>
    <t>Middlefield</t>
  </si>
  <si>
    <t>Northampton</t>
  </si>
  <si>
    <t>Pelham</t>
  </si>
  <si>
    <t>Plainfield</t>
  </si>
  <si>
    <t>South Hadley</t>
  </si>
  <si>
    <t>Southampton</t>
  </si>
  <si>
    <t>Ware</t>
  </si>
  <si>
    <t>Westhampton</t>
  </si>
  <si>
    <t>Williamsburg</t>
  </si>
  <si>
    <t>Worthington</t>
  </si>
  <si>
    <t>Acton</t>
  </si>
  <si>
    <t>Middlesex</t>
  </si>
  <si>
    <t>Arlington</t>
  </si>
  <si>
    <t>Ashby</t>
  </si>
  <si>
    <t>Ashland</t>
  </si>
  <si>
    <t>Ayer</t>
  </si>
  <si>
    <t>Bedford</t>
  </si>
  <si>
    <t>Belmont</t>
  </si>
  <si>
    <t>Billerica</t>
  </si>
  <si>
    <t>Boxborough</t>
  </si>
  <si>
    <t>Burlington</t>
  </si>
  <si>
    <t>Cambridge</t>
  </si>
  <si>
    <t>Carlisle</t>
  </si>
  <si>
    <t>Chelmsford</t>
  </si>
  <si>
    <t>Concord</t>
  </si>
  <si>
    <t>Dracut</t>
  </si>
  <si>
    <t>Dunstable</t>
  </si>
  <si>
    <t>Everett</t>
  </si>
  <si>
    <t>Framingham</t>
  </si>
  <si>
    <t>Groton</t>
  </si>
  <si>
    <t>Holliston</t>
  </si>
  <si>
    <t>Hopkinton</t>
  </si>
  <si>
    <t>Hudson</t>
  </si>
  <si>
    <t>Lexington</t>
  </si>
  <si>
    <t>Lincoln</t>
  </si>
  <si>
    <t>Littleton</t>
  </si>
  <si>
    <t>Lowell</t>
  </si>
  <si>
    <t>Malden</t>
  </si>
  <si>
    <t>Marlborough</t>
  </si>
  <si>
    <t>Maynard</t>
  </si>
  <si>
    <t>Medford</t>
  </si>
  <si>
    <t>Melrose</t>
  </si>
  <si>
    <t>Natick</t>
  </si>
  <si>
    <t>Newton</t>
  </si>
  <si>
    <t>North Reading</t>
  </si>
  <si>
    <t>Pepperell</t>
  </si>
  <si>
    <t>Reading</t>
  </si>
  <si>
    <t>Sherborn</t>
  </si>
  <si>
    <t>Shirley</t>
  </si>
  <si>
    <t>Somerville</t>
  </si>
  <si>
    <t>Stoneham</t>
  </si>
  <si>
    <t>Stow</t>
  </si>
  <si>
    <t>Sudbury</t>
  </si>
  <si>
    <t>Tewksbury</t>
  </si>
  <si>
    <t>Townsend</t>
  </si>
  <si>
    <t>Tyngsborough</t>
  </si>
  <si>
    <t>Wakefield</t>
  </si>
  <si>
    <t>Waltham</t>
  </si>
  <si>
    <t>Watertown</t>
  </si>
  <si>
    <t>Wayland</t>
  </si>
  <si>
    <t>Westford</t>
  </si>
  <si>
    <t>Weston</t>
  </si>
  <si>
    <t>Wilmington</t>
  </si>
  <si>
    <t>Winchester</t>
  </si>
  <si>
    <t>Woburn</t>
  </si>
  <si>
    <t>Nantucket</t>
  </si>
  <si>
    <t>Avon</t>
  </si>
  <si>
    <t>Norfolk</t>
  </si>
  <si>
    <t>Bellingham</t>
  </si>
  <si>
    <t>Braintree</t>
  </si>
  <si>
    <t>Brookline</t>
  </si>
  <si>
    <t>Canton</t>
  </si>
  <si>
    <t>Cohasset</t>
  </si>
  <si>
    <t>Dedham</t>
  </si>
  <si>
    <t>Dover</t>
  </si>
  <si>
    <t>Foxborough</t>
  </si>
  <si>
    <t>Holbrook</t>
  </si>
  <si>
    <t>Medfield</t>
  </si>
  <si>
    <t>Medway</t>
  </si>
  <si>
    <t>Millis</t>
  </si>
  <si>
    <t>Milton</t>
  </si>
  <si>
    <t>Needham</t>
  </si>
  <si>
    <t>Norwood</t>
  </si>
  <si>
    <t>Plainville</t>
  </si>
  <si>
    <t>Quincy</t>
  </si>
  <si>
    <t>Randolph</t>
  </si>
  <si>
    <t>Sharon</t>
  </si>
  <si>
    <t>Stoughton</t>
  </si>
  <si>
    <t>Walpole</t>
  </si>
  <si>
    <t>Wellesley</t>
  </si>
  <si>
    <t>Westwood</t>
  </si>
  <si>
    <t>Weymouth</t>
  </si>
  <si>
    <t>Wrentham</t>
  </si>
  <si>
    <t>Abington</t>
  </si>
  <si>
    <t>Plymouth</t>
  </si>
  <si>
    <t>Bridgewater</t>
  </si>
  <si>
    <t>Brockton</t>
  </si>
  <si>
    <t>Carver</t>
  </si>
  <si>
    <t>Duxbury</t>
  </si>
  <si>
    <t>East Bridgewater</t>
  </si>
  <si>
    <t>Halifax</t>
  </si>
  <si>
    <t>Hanover</t>
  </si>
  <si>
    <t>Hanson</t>
  </si>
  <si>
    <t>Hingham</t>
  </si>
  <si>
    <t>Hull</t>
  </si>
  <si>
    <t>Kingston</t>
  </si>
  <si>
    <t>Lakeville</t>
  </si>
  <si>
    <t>Marion</t>
  </si>
  <si>
    <t>Marshfield</t>
  </si>
  <si>
    <t>Mattapoisett</t>
  </si>
  <si>
    <t>Middleborough</t>
  </si>
  <si>
    <t>Norwell</t>
  </si>
  <si>
    <t>Pembroke</t>
  </si>
  <si>
    <t>Plympton</t>
  </si>
  <si>
    <t>Rochester</t>
  </si>
  <si>
    <t>Rockland</t>
  </si>
  <si>
    <t>Scituate</t>
  </si>
  <si>
    <t>Wareham</t>
  </si>
  <si>
    <t>West Bridgewater</t>
  </si>
  <si>
    <t>Whitman</t>
  </si>
  <si>
    <t>Boston</t>
  </si>
  <si>
    <t>Suffolk</t>
  </si>
  <si>
    <t>Chelsea</t>
  </si>
  <si>
    <t>Revere</t>
  </si>
  <si>
    <t>Winthrop</t>
  </si>
  <si>
    <t>Ashburnham</t>
  </si>
  <si>
    <t>Worcester</t>
  </si>
  <si>
    <t>Athol</t>
  </si>
  <si>
    <t>Auburn</t>
  </si>
  <si>
    <t>Barre</t>
  </si>
  <si>
    <t>Berlin</t>
  </si>
  <si>
    <t>Blackstone</t>
  </si>
  <si>
    <t>Bolton</t>
  </si>
  <si>
    <t>Boylston</t>
  </si>
  <si>
    <t>Brookfield</t>
  </si>
  <si>
    <t>Charlton</t>
  </si>
  <si>
    <t>Clinton</t>
  </si>
  <si>
    <t>Douglas</t>
  </si>
  <si>
    <t>Dudley</t>
  </si>
  <si>
    <t>East Brookfield</t>
  </si>
  <si>
    <t>Fitchburg</t>
  </si>
  <si>
    <t>Gardner</t>
  </si>
  <si>
    <t>Grafton</t>
  </si>
  <si>
    <t>Hardwick</t>
  </si>
  <si>
    <t>Harvard</t>
  </si>
  <si>
    <t>Holden</t>
  </si>
  <si>
    <t>Hopedale</t>
  </si>
  <si>
    <t>Hubbardston</t>
  </si>
  <si>
    <t>Lancaster</t>
  </si>
  <si>
    <t>Leicester</t>
  </si>
  <si>
    <t>Leominster</t>
  </si>
  <si>
    <t>Lunenburg</t>
  </si>
  <si>
    <t>Mendon</t>
  </si>
  <si>
    <t>Milford</t>
  </si>
  <si>
    <t>Millbury</t>
  </si>
  <si>
    <t>Millville</t>
  </si>
  <si>
    <t>New Braintree</t>
  </si>
  <si>
    <t>North Brookfield</t>
  </si>
  <si>
    <t>Northborough</t>
  </si>
  <si>
    <t>Northbridge</t>
  </si>
  <si>
    <t>Oakham</t>
  </si>
  <si>
    <t>Oxford</t>
  </si>
  <si>
    <t>Paxton</t>
  </si>
  <si>
    <t>Petersham</t>
  </si>
  <si>
    <t>Phillipston</t>
  </si>
  <si>
    <t>Princeton</t>
  </si>
  <si>
    <t>Royalston</t>
  </si>
  <si>
    <t>Rutland</t>
  </si>
  <si>
    <t>Shrewsbury</t>
  </si>
  <si>
    <t>Southborough</t>
  </si>
  <si>
    <t>Southbridge</t>
  </si>
  <si>
    <t>Spencer</t>
  </si>
  <si>
    <t>Sterling</t>
  </si>
  <si>
    <t>Sturbridge</t>
  </si>
  <si>
    <t>Sutton</t>
  </si>
  <si>
    <t>Templeton</t>
  </si>
  <si>
    <t>Upton</t>
  </si>
  <si>
    <t>Uxbridge</t>
  </si>
  <si>
    <t>Warren</t>
  </si>
  <si>
    <t>Webster</t>
  </si>
  <si>
    <t>West Boylston</t>
  </si>
  <si>
    <t>West Brookfield</t>
  </si>
  <si>
    <t>Westborough</t>
  </si>
  <si>
    <t>Westminster</t>
  </si>
  <si>
    <t>Winchendon</t>
  </si>
  <si>
    <t>Region</t>
  </si>
  <si>
    <t>Eastern</t>
  </si>
  <si>
    <t>Central</t>
  </si>
  <si>
    <t>Western</t>
  </si>
  <si>
    <t>Population</t>
  </si>
  <si>
    <t>Barnstable County</t>
  </si>
  <si>
    <t>Berkshire County</t>
  </si>
  <si>
    <t>Bristol County</t>
  </si>
  <si>
    <t>Dukes County</t>
  </si>
  <si>
    <t>Essex County</t>
  </si>
  <si>
    <t>Franklin County</t>
  </si>
  <si>
    <t>Hampden County</t>
  </si>
  <si>
    <t>Hampshire County</t>
  </si>
  <si>
    <t>Middlesex County</t>
  </si>
  <si>
    <t>Nantucket County</t>
  </si>
  <si>
    <t>Norfolk County</t>
  </si>
  <si>
    <t>Plymouth County</t>
  </si>
  <si>
    <t>Suffolk County</t>
  </si>
  <si>
    <t>Worcester County</t>
  </si>
  <si>
    <t>Longitutde</t>
  </si>
  <si>
    <t>Total Population</t>
  </si>
  <si>
    <t>Eastern Region Calculation: COG method</t>
  </si>
  <si>
    <t>COG_Latitute</t>
  </si>
  <si>
    <t>COG_Longitude</t>
  </si>
  <si>
    <t>Western Region Caculation:  COG method</t>
  </si>
  <si>
    <t>COG_Latitude</t>
  </si>
  <si>
    <t>COG_Longitute</t>
  </si>
  <si>
    <t>Central Region Calculation:  COG Method</t>
  </si>
  <si>
    <t>COUNTY</t>
  </si>
  <si>
    <t>H_C</t>
  </si>
  <si>
    <t>H_E</t>
  </si>
  <si>
    <t>H_W</t>
  </si>
  <si>
    <t>Urban Score</t>
  </si>
  <si>
    <t xml:space="preserve">Median Income </t>
  </si>
  <si>
    <t>Median Age</t>
  </si>
  <si>
    <t>BrodbandAccess</t>
  </si>
  <si>
    <t>Median Icome</t>
  </si>
  <si>
    <t xml:space="preserve">Weight </t>
  </si>
  <si>
    <t>Weight</t>
  </si>
  <si>
    <t>Weight * Latitude</t>
  </si>
  <si>
    <t>weight * Longitutde</t>
  </si>
  <si>
    <t>weight*latitude</t>
  </si>
  <si>
    <t>NEWTON</t>
  </si>
  <si>
    <t>S</t>
  </si>
  <si>
    <t>Average Speed</t>
  </si>
  <si>
    <t>KM Per 1 degree latitude</t>
  </si>
  <si>
    <t>KM Per 1 degree Longitutde</t>
  </si>
  <si>
    <t>60KM/HR</t>
  </si>
  <si>
    <t>1 MIN</t>
  </si>
  <si>
    <t>Δ Latitude (deg)</t>
  </si>
  <si>
    <t>Δ Longitude (deg)</t>
  </si>
  <si>
    <t>111* Δ Latitude</t>
  </si>
  <si>
    <t>82.5*Δ Longitude</t>
  </si>
  <si>
    <t>Distance from Hub (km)</t>
  </si>
  <si>
    <t>Within Coverage?</t>
  </si>
  <si>
    <t>Input Data</t>
  </si>
  <si>
    <t>Total population within our Newton drone hub coverage area</t>
  </si>
  <si>
    <t>Total population within our Northampton drone hub coverage area</t>
  </si>
  <si>
    <t>While the COG falls near Northampton, Springfield is the largest population and commercial center in Western MA, making it a more strategic hub for operational efficiency.</t>
  </si>
  <si>
    <t>Springfield has better existing logistics infrastructure</t>
  </si>
  <si>
    <t>Springfield minimizes average delivery time</t>
  </si>
  <si>
    <t>If we don’t scritly follow cog and taken into the following considerations, we will have a better covergae:</t>
  </si>
  <si>
    <t>Springfiled</t>
  </si>
  <si>
    <t>Total population within our Springfield drone hub coverage area</t>
  </si>
  <si>
    <t>Total population within our Worcester drone hub coverage area</t>
  </si>
  <si>
    <t>&lt;=10km</t>
  </si>
  <si>
    <t>&lt;=5KM</t>
  </si>
  <si>
    <t>&lt;=10KM</t>
  </si>
  <si>
    <t>&lt;=5km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</si>
</sst>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3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/>
    <xf numFmtId="0" fontId="1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2AE6-CE55-475B-A13F-C6A91B68038B}">
  <dimension ref="A1:F352"/>
  <sheetViews>
    <sheetView zoomScale="90" zoomScaleNormal="90" workbookViewId="0">
      <selection activeCell="K18" sqref="K18"/>
    </sheetView>
  </sheetViews>
  <sheetFormatPr defaultRowHeight="14.5" x14ac:dyDescent="0.35"/>
  <cols>
    <col min="1" max="1" width="19.08984375" bestFit="1" customWidth="1"/>
    <col min="2" max="2" width="9.54296875" bestFit="1" customWidth="1"/>
    <col min="3" max="3" width="12.81640625" bestFit="1" customWidth="1"/>
    <col min="4" max="4" width="14.08984375" bestFit="1" customWidth="1"/>
    <col min="5" max="5" width="11.6328125" bestFit="1" customWidth="1"/>
  </cols>
  <sheetData>
    <row r="1" spans="1:6" x14ac:dyDescent="0.35">
      <c r="A1" s="1" t="s">
        <v>0</v>
      </c>
      <c r="B1" s="1" t="s">
        <v>389</v>
      </c>
      <c r="C1" s="1" t="s">
        <v>2</v>
      </c>
      <c r="D1" s="1" t="s">
        <v>3</v>
      </c>
      <c r="E1" s="2" t="s">
        <v>361</v>
      </c>
      <c r="F1" s="2" t="s">
        <v>365</v>
      </c>
    </row>
    <row r="2" spans="1:6" x14ac:dyDescent="0.35">
      <c r="A2" t="s">
        <v>269</v>
      </c>
      <c r="B2" t="s">
        <v>270</v>
      </c>
      <c r="C2">
        <v>42.116700000000002</v>
      </c>
      <c r="D2">
        <v>-71.0167</v>
      </c>
      <c r="E2" t="s">
        <v>362</v>
      </c>
      <c r="F2">
        <v>17090</v>
      </c>
    </row>
    <row r="3" spans="1:6" x14ac:dyDescent="0.35">
      <c r="A3" t="s">
        <v>186</v>
      </c>
      <c r="B3" t="s">
        <v>187</v>
      </c>
      <c r="C3">
        <v>42.462800000000001</v>
      </c>
      <c r="D3">
        <v>-71.463200000000001</v>
      </c>
      <c r="E3" t="s">
        <v>362</v>
      </c>
      <c r="F3">
        <v>24539</v>
      </c>
    </row>
    <row r="4" spans="1:6" x14ac:dyDescent="0.35">
      <c r="A4" t="s">
        <v>52</v>
      </c>
      <c r="B4" t="s">
        <v>53</v>
      </c>
      <c r="C4">
        <v>41.666699999999999</v>
      </c>
      <c r="D4">
        <v>-71.183300000000003</v>
      </c>
      <c r="E4" t="s">
        <v>362</v>
      </c>
      <c r="F4">
        <v>10700</v>
      </c>
    </row>
    <row r="5" spans="1:6" x14ac:dyDescent="0.35">
      <c r="A5" t="s">
        <v>19</v>
      </c>
      <c r="B5" t="s">
        <v>20</v>
      </c>
      <c r="C5">
        <v>42.617800000000003</v>
      </c>
      <c r="D5">
        <v>-73.104799999999997</v>
      </c>
      <c r="E5" t="s">
        <v>364</v>
      </c>
      <c r="F5">
        <v>7992</v>
      </c>
    </row>
    <row r="6" spans="1:6" x14ac:dyDescent="0.35">
      <c r="A6" t="s">
        <v>142</v>
      </c>
      <c r="B6" t="s">
        <v>143</v>
      </c>
      <c r="C6">
        <v>42.066699999999997</v>
      </c>
      <c r="D6">
        <v>-72.633300000000006</v>
      </c>
      <c r="E6" t="s">
        <v>364</v>
      </c>
      <c r="F6">
        <v>28749</v>
      </c>
    </row>
    <row r="7" spans="1:6" x14ac:dyDescent="0.35">
      <c r="A7" t="s">
        <v>21</v>
      </c>
      <c r="B7" t="s">
        <v>20</v>
      </c>
      <c r="C7">
        <v>42.321100000000001</v>
      </c>
      <c r="D7">
        <v>-73.420199999999994</v>
      </c>
      <c r="E7" t="s">
        <v>364</v>
      </c>
      <c r="F7">
        <v>483</v>
      </c>
    </row>
    <row r="8" spans="1:6" x14ac:dyDescent="0.35">
      <c r="A8" t="s">
        <v>81</v>
      </c>
      <c r="B8" t="s">
        <v>82</v>
      </c>
      <c r="C8">
        <v>42.866700000000002</v>
      </c>
      <c r="D8">
        <v>-71.183300000000003</v>
      </c>
      <c r="E8" t="s">
        <v>362</v>
      </c>
      <c r="F8">
        <v>17277</v>
      </c>
    </row>
    <row r="9" spans="1:6" x14ac:dyDescent="0.35">
      <c r="A9" t="s">
        <v>165</v>
      </c>
      <c r="B9" t="s">
        <v>166</v>
      </c>
      <c r="C9">
        <v>42.373100000000001</v>
      </c>
      <c r="D9">
        <v>-72.529700000000005</v>
      </c>
      <c r="E9" t="s">
        <v>364</v>
      </c>
      <c r="F9">
        <v>40989</v>
      </c>
    </row>
    <row r="10" spans="1:6" x14ac:dyDescent="0.35">
      <c r="A10" t="s">
        <v>83</v>
      </c>
      <c r="B10" t="s">
        <v>82</v>
      </c>
      <c r="C10">
        <v>42.658499999999997</v>
      </c>
      <c r="D10">
        <v>-71.1447</v>
      </c>
      <c r="E10" t="s">
        <v>362</v>
      </c>
      <c r="F10">
        <v>36927</v>
      </c>
    </row>
    <row r="11" spans="1:6" x14ac:dyDescent="0.35">
      <c r="A11" t="s">
        <v>73</v>
      </c>
      <c r="B11" t="s">
        <v>74</v>
      </c>
      <c r="C11">
        <v>41.35</v>
      </c>
      <c r="D11">
        <v>-70.816699999999997</v>
      </c>
      <c r="E11" t="s">
        <v>362</v>
      </c>
      <c r="F11">
        <v>451</v>
      </c>
    </row>
    <row r="12" spans="1:6" x14ac:dyDescent="0.35">
      <c r="A12" t="s">
        <v>188</v>
      </c>
      <c r="B12" t="s">
        <v>187</v>
      </c>
      <c r="C12">
        <v>42.414999999999999</v>
      </c>
      <c r="D12">
        <v>-71.159400000000005</v>
      </c>
      <c r="E12" t="s">
        <v>362</v>
      </c>
      <c r="F12">
        <v>47112</v>
      </c>
    </row>
    <row r="13" spans="1:6" x14ac:dyDescent="0.35">
      <c r="A13" t="s">
        <v>301</v>
      </c>
      <c r="B13" t="s">
        <v>302</v>
      </c>
      <c r="C13">
        <v>42.633299999999998</v>
      </c>
      <c r="D13">
        <v>-71.7667</v>
      </c>
      <c r="E13" t="s">
        <v>363</v>
      </c>
      <c r="F13">
        <v>6522</v>
      </c>
    </row>
    <row r="14" spans="1:6" x14ac:dyDescent="0.35">
      <c r="A14" t="s">
        <v>189</v>
      </c>
      <c r="B14" t="s">
        <v>187</v>
      </c>
      <c r="C14">
        <v>42.683300000000003</v>
      </c>
      <c r="D14">
        <v>-71.5</v>
      </c>
      <c r="E14" t="s">
        <v>362</v>
      </c>
      <c r="F14">
        <v>3270</v>
      </c>
    </row>
    <row r="15" spans="1:6" x14ac:dyDescent="0.35">
      <c r="A15" t="s">
        <v>115</v>
      </c>
      <c r="B15" t="s">
        <v>116</v>
      </c>
      <c r="C15">
        <v>42.566699999999997</v>
      </c>
      <c r="D15">
        <v>-72.849999999999994</v>
      </c>
      <c r="E15" t="s">
        <v>364</v>
      </c>
      <c r="F15">
        <v>1685</v>
      </c>
    </row>
    <row r="16" spans="1:6" x14ac:dyDescent="0.35">
      <c r="A16" t="s">
        <v>190</v>
      </c>
      <c r="B16" t="s">
        <v>187</v>
      </c>
      <c r="C16">
        <v>42.2333</v>
      </c>
      <c r="D16">
        <v>-71.466700000000003</v>
      </c>
      <c r="E16" t="s">
        <v>362</v>
      </c>
      <c r="F16">
        <v>19391</v>
      </c>
    </row>
    <row r="17" spans="1:6" x14ac:dyDescent="0.35">
      <c r="A17" t="s">
        <v>303</v>
      </c>
      <c r="B17" t="s">
        <v>302</v>
      </c>
      <c r="C17">
        <v>42.616700000000002</v>
      </c>
      <c r="D17">
        <v>-72.2667</v>
      </c>
      <c r="E17" t="s">
        <v>363</v>
      </c>
      <c r="F17">
        <v>12105</v>
      </c>
    </row>
    <row r="18" spans="1:6" x14ac:dyDescent="0.35">
      <c r="A18" t="s">
        <v>54</v>
      </c>
      <c r="B18" t="s">
        <v>53</v>
      </c>
      <c r="C18">
        <v>41.943600000000004</v>
      </c>
      <c r="D18">
        <v>-71.288799999999995</v>
      </c>
      <c r="E18" t="s">
        <v>362</v>
      </c>
      <c r="F18">
        <v>47085</v>
      </c>
    </row>
    <row r="19" spans="1:6" x14ac:dyDescent="0.35">
      <c r="A19" t="s">
        <v>304</v>
      </c>
      <c r="B19" t="s">
        <v>302</v>
      </c>
      <c r="C19">
        <v>42.216700000000003</v>
      </c>
      <c r="D19">
        <v>-71.833299999999994</v>
      </c>
      <c r="E19" t="s">
        <v>363</v>
      </c>
      <c r="F19">
        <v>17323</v>
      </c>
    </row>
    <row r="20" spans="1:6" x14ac:dyDescent="0.35">
      <c r="A20" t="s">
        <v>242</v>
      </c>
      <c r="B20" t="s">
        <v>243</v>
      </c>
      <c r="C20">
        <v>42.216700000000003</v>
      </c>
      <c r="D20">
        <v>-71.033299999999997</v>
      </c>
      <c r="E20" t="s">
        <v>362</v>
      </c>
      <c r="F20">
        <v>4801</v>
      </c>
    </row>
    <row r="21" spans="1:6" x14ac:dyDescent="0.35">
      <c r="A21" t="s">
        <v>191</v>
      </c>
      <c r="B21" t="s">
        <v>187</v>
      </c>
      <c r="C21">
        <v>42.566699999999997</v>
      </c>
      <c r="D21">
        <v>-71.55</v>
      </c>
      <c r="E21" t="s">
        <v>362</v>
      </c>
      <c r="F21">
        <v>9010</v>
      </c>
    </row>
    <row r="22" spans="1:6" x14ac:dyDescent="0.35">
      <c r="A22" t="s">
        <v>4</v>
      </c>
      <c r="B22" t="s">
        <v>4</v>
      </c>
      <c r="C22">
        <v>41.700099999999999</v>
      </c>
      <c r="D22">
        <v>-70.300600000000003</v>
      </c>
      <c r="E22" t="s">
        <v>362</v>
      </c>
      <c r="F22">
        <v>49831</v>
      </c>
    </row>
    <row r="23" spans="1:6" x14ac:dyDescent="0.35">
      <c r="A23" t="s">
        <v>305</v>
      </c>
      <c r="B23" t="s">
        <v>302</v>
      </c>
      <c r="C23">
        <v>42.4</v>
      </c>
      <c r="D23">
        <v>-71.8</v>
      </c>
      <c r="E23" t="s">
        <v>363</v>
      </c>
      <c r="F23">
        <v>5631</v>
      </c>
    </row>
    <row r="24" spans="1:6" x14ac:dyDescent="0.35">
      <c r="A24" t="s">
        <v>22</v>
      </c>
      <c r="B24" t="s">
        <v>20</v>
      </c>
      <c r="C24">
        <v>42.366700000000002</v>
      </c>
      <c r="D24">
        <v>-73.333299999999994</v>
      </c>
      <c r="E24" t="s">
        <v>364</v>
      </c>
      <c r="F24">
        <v>1922</v>
      </c>
    </row>
    <row r="25" spans="1:6" x14ac:dyDescent="0.35">
      <c r="A25" t="s">
        <v>192</v>
      </c>
      <c r="B25" t="s">
        <v>187</v>
      </c>
      <c r="C25">
        <v>42.491700000000002</v>
      </c>
      <c r="D25">
        <v>-71.2667</v>
      </c>
      <c r="E25" t="s">
        <v>362</v>
      </c>
      <c r="F25">
        <v>14955</v>
      </c>
    </row>
    <row r="26" spans="1:6" x14ac:dyDescent="0.35">
      <c r="A26" t="s">
        <v>167</v>
      </c>
      <c r="B26" t="s">
        <v>166</v>
      </c>
      <c r="C26">
        <v>42.2667</v>
      </c>
      <c r="D26">
        <v>-72.400000000000006</v>
      </c>
      <c r="E26" t="s">
        <v>364</v>
      </c>
      <c r="F26">
        <v>15372</v>
      </c>
    </row>
    <row r="27" spans="1:6" x14ac:dyDescent="0.35">
      <c r="A27" t="s">
        <v>244</v>
      </c>
      <c r="B27" t="s">
        <v>243</v>
      </c>
      <c r="C27">
        <v>42.066699999999997</v>
      </c>
      <c r="D27">
        <v>-71.45</v>
      </c>
      <c r="E27" t="s">
        <v>362</v>
      </c>
      <c r="F27">
        <v>17998</v>
      </c>
    </row>
    <row r="28" spans="1:6" x14ac:dyDescent="0.35">
      <c r="A28" t="s">
        <v>193</v>
      </c>
      <c r="B28" t="s">
        <v>187</v>
      </c>
      <c r="C28">
        <v>42.416699999999999</v>
      </c>
      <c r="D28">
        <v>-71.183300000000003</v>
      </c>
      <c r="E28" t="s">
        <v>362</v>
      </c>
      <c r="F28">
        <v>27442</v>
      </c>
    </row>
    <row r="29" spans="1:6" x14ac:dyDescent="0.35">
      <c r="A29" t="s">
        <v>55</v>
      </c>
      <c r="B29" t="s">
        <v>53</v>
      </c>
      <c r="C29">
        <v>41.883299999999998</v>
      </c>
      <c r="D29">
        <v>-71.366699999999994</v>
      </c>
      <c r="E29" t="s">
        <v>362</v>
      </c>
      <c r="F29">
        <v>6892</v>
      </c>
    </row>
    <row r="30" spans="1:6" x14ac:dyDescent="0.35">
      <c r="A30" t="s">
        <v>306</v>
      </c>
      <c r="B30" t="s">
        <v>302</v>
      </c>
      <c r="C30">
        <v>42.366700000000002</v>
      </c>
      <c r="D30">
        <v>-71.599999999999994</v>
      </c>
      <c r="E30" t="s">
        <v>363</v>
      </c>
      <c r="F30">
        <v>3479</v>
      </c>
    </row>
    <row r="31" spans="1:6" x14ac:dyDescent="0.35">
      <c r="A31" t="s">
        <v>117</v>
      </c>
      <c r="B31" t="s">
        <v>116</v>
      </c>
      <c r="C31">
        <v>42.65</v>
      </c>
      <c r="D31">
        <v>-72.583299999999994</v>
      </c>
      <c r="E31" t="s">
        <v>364</v>
      </c>
      <c r="F31">
        <v>2109</v>
      </c>
    </row>
    <row r="32" spans="1:6" x14ac:dyDescent="0.35">
      <c r="A32" t="s">
        <v>84</v>
      </c>
      <c r="B32" t="s">
        <v>82</v>
      </c>
      <c r="C32">
        <v>42.558599999999998</v>
      </c>
      <c r="D32">
        <v>-70.879199999999997</v>
      </c>
      <c r="E32" t="s">
        <v>362</v>
      </c>
      <c r="F32">
        <v>43223</v>
      </c>
    </row>
    <row r="33" spans="1:6" x14ac:dyDescent="0.35">
      <c r="A33" t="s">
        <v>194</v>
      </c>
      <c r="B33" t="s">
        <v>187</v>
      </c>
      <c r="C33">
        <v>42.55</v>
      </c>
      <c r="D33">
        <v>-71.3</v>
      </c>
      <c r="E33" t="s">
        <v>362</v>
      </c>
      <c r="F33">
        <v>42978</v>
      </c>
    </row>
    <row r="34" spans="1:6" x14ac:dyDescent="0.35">
      <c r="A34" t="s">
        <v>307</v>
      </c>
      <c r="B34" t="s">
        <v>302</v>
      </c>
      <c r="C34">
        <v>42.033299999999997</v>
      </c>
      <c r="D34">
        <v>-71.5167</v>
      </c>
      <c r="E34" t="s">
        <v>363</v>
      </c>
      <c r="F34">
        <v>9374</v>
      </c>
    </row>
    <row r="35" spans="1:6" x14ac:dyDescent="0.35">
      <c r="A35" t="s">
        <v>144</v>
      </c>
      <c r="B35" t="s">
        <v>143</v>
      </c>
      <c r="C35">
        <v>42.116700000000002</v>
      </c>
      <c r="D35">
        <v>-73.033299999999997</v>
      </c>
      <c r="E35" t="s">
        <v>364</v>
      </c>
      <c r="F35">
        <v>1209</v>
      </c>
    </row>
    <row r="36" spans="1:6" x14ac:dyDescent="0.35">
      <c r="A36" t="s">
        <v>308</v>
      </c>
      <c r="B36" t="s">
        <v>302</v>
      </c>
      <c r="C36">
        <v>42.383299999999998</v>
      </c>
      <c r="D36">
        <v>-71.583299999999994</v>
      </c>
      <c r="E36" t="s">
        <v>363</v>
      </c>
      <c r="F36">
        <v>5809</v>
      </c>
    </row>
    <row r="37" spans="1:6" x14ac:dyDescent="0.35">
      <c r="A37" t="s">
        <v>296</v>
      </c>
      <c r="B37" t="s">
        <v>297</v>
      </c>
      <c r="C37">
        <v>42.360100000000003</v>
      </c>
      <c r="D37">
        <v>-71.058899999999994</v>
      </c>
      <c r="E37" t="s">
        <v>362</v>
      </c>
      <c r="F37">
        <v>673458</v>
      </c>
    </row>
    <row r="38" spans="1:6" x14ac:dyDescent="0.35">
      <c r="A38" t="s">
        <v>5</v>
      </c>
      <c r="B38" t="s">
        <v>4</v>
      </c>
      <c r="C38">
        <v>41.740699999999997</v>
      </c>
      <c r="D38">
        <v>-70.620400000000004</v>
      </c>
      <c r="E38" t="s">
        <v>362</v>
      </c>
      <c r="F38">
        <v>20508</v>
      </c>
    </row>
    <row r="39" spans="1:6" x14ac:dyDescent="0.35">
      <c r="A39" t="s">
        <v>195</v>
      </c>
      <c r="B39" t="s">
        <v>187</v>
      </c>
      <c r="C39">
        <v>42.45</v>
      </c>
      <c r="D39">
        <v>-71.433300000000003</v>
      </c>
      <c r="E39" t="s">
        <v>362</v>
      </c>
      <c r="F39">
        <v>5565</v>
      </c>
    </row>
    <row r="40" spans="1:6" x14ac:dyDescent="0.35">
      <c r="A40" t="s">
        <v>85</v>
      </c>
      <c r="B40" t="s">
        <v>82</v>
      </c>
      <c r="C40">
        <v>42.65</v>
      </c>
      <c r="D40">
        <v>-71.183300000000003</v>
      </c>
      <c r="E40" t="s">
        <v>362</v>
      </c>
      <c r="F40">
        <v>8334</v>
      </c>
    </row>
    <row r="41" spans="1:6" x14ac:dyDescent="0.35">
      <c r="A41" t="s">
        <v>309</v>
      </c>
      <c r="B41" t="s">
        <v>302</v>
      </c>
      <c r="C41">
        <v>42.366700000000002</v>
      </c>
      <c r="D41">
        <v>-71.7333</v>
      </c>
      <c r="E41" t="s">
        <v>363</v>
      </c>
      <c r="F41">
        <v>5064</v>
      </c>
    </row>
    <row r="42" spans="1:6" x14ac:dyDescent="0.35">
      <c r="A42" t="s">
        <v>245</v>
      </c>
      <c r="B42" t="s">
        <v>243</v>
      </c>
      <c r="C42">
        <v>42.2</v>
      </c>
      <c r="D42">
        <v>-71.033299999999997</v>
      </c>
      <c r="E42" t="s">
        <v>362</v>
      </c>
      <c r="F42">
        <v>39134</v>
      </c>
    </row>
    <row r="43" spans="1:6" x14ac:dyDescent="0.35">
      <c r="A43" t="s">
        <v>6</v>
      </c>
      <c r="B43" t="s">
        <v>4</v>
      </c>
      <c r="C43">
        <v>41.750100000000003</v>
      </c>
      <c r="D43">
        <v>-69.9679</v>
      </c>
      <c r="E43" t="s">
        <v>362</v>
      </c>
      <c r="F43">
        <v>10447</v>
      </c>
    </row>
    <row r="44" spans="1:6" x14ac:dyDescent="0.35">
      <c r="A44" t="s">
        <v>271</v>
      </c>
      <c r="B44" t="s">
        <v>270</v>
      </c>
      <c r="C44">
        <v>41.9833</v>
      </c>
      <c r="D44">
        <v>-70.9833</v>
      </c>
      <c r="E44" t="s">
        <v>362</v>
      </c>
      <c r="F44">
        <v>29167</v>
      </c>
    </row>
    <row r="45" spans="1:6" x14ac:dyDescent="0.35">
      <c r="A45" t="s">
        <v>145</v>
      </c>
      <c r="B45" t="s">
        <v>143</v>
      </c>
      <c r="C45">
        <v>42.183300000000003</v>
      </c>
      <c r="D45">
        <v>-72.166700000000006</v>
      </c>
      <c r="E45" t="s">
        <v>364</v>
      </c>
      <c r="F45">
        <v>3733</v>
      </c>
    </row>
    <row r="46" spans="1:6" x14ac:dyDescent="0.35">
      <c r="A46" t="s">
        <v>272</v>
      </c>
      <c r="B46" t="s">
        <v>270</v>
      </c>
      <c r="C46">
        <v>42.089100000000002</v>
      </c>
      <c r="D46">
        <v>-71.011600000000001</v>
      </c>
      <c r="E46" t="s">
        <v>362</v>
      </c>
      <c r="F46">
        <v>105788</v>
      </c>
    </row>
    <row r="47" spans="1:6" x14ac:dyDescent="0.35">
      <c r="A47" t="s">
        <v>310</v>
      </c>
      <c r="B47" t="s">
        <v>302</v>
      </c>
      <c r="C47">
        <v>42.166699999999999</v>
      </c>
      <c r="D47">
        <v>-72.116699999999994</v>
      </c>
      <c r="E47" t="s">
        <v>363</v>
      </c>
      <c r="F47">
        <v>3500</v>
      </c>
    </row>
    <row r="48" spans="1:6" x14ac:dyDescent="0.35">
      <c r="A48" t="s">
        <v>246</v>
      </c>
      <c r="B48" t="s">
        <v>243</v>
      </c>
      <c r="C48">
        <v>42.331400000000002</v>
      </c>
      <c r="D48">
        <v>-71.1233</v>
      </c>
      <c r="E48" t="s">
        <v>362</v>
      </c>
      <c r="F48">
        <v>63925</v>
      </c>
    </row>
    <row r="49" spans="1:6" x14ac:dyDescent="0.35">
      <c r="A49" t="s">
        <v>118</v>
      </c>
      <c r="B49" t="s">
        <v>116</v>
      </c>
      <c r="C49">
        <v>42.6</v>
      </c>
      <c r="D49">
        <v>-72.7</v>
      </c>
      <c r="E49" t="s">
        <v>364</v>
      </c>
      <c r="F49">
        <v>1818</v>
      </c>
    </row>
    <row r="50" spans="1:6" x14ac:dyDescent="0.35">
      <c r="A50" t="s">
        <v>196</v>
      </c>
      <c r="B50" t="s">
        <v>187</v>
      </c>
      <c r="C50">
        <v>42.5</v>
      </c>
      <c r="D50">
        <v>-71.2</v>
      </c>
      <c r="E50" t="s">
        <v>362</v>
      </c>
      <c r="F50">
        <v>26977</v>
      </c>
    </row>
    <row r="51" spans="1:6" x14ac:dyDescent="0.35">
      <c r="A51" t="s">
        <v>197</v>
      </c>
      <c r="B51" t="s">
        <v>187</v>
      </c>
      <c r="C51">
        <v>42.360100000000003</v>
      </c>
      <c r="D51">
        <v>-71.105400000000003</v>
      </c>
      <c r="E51" t="s">
        <v>362</v>
      </c>
      <c r="F51">
        <v>121186</v>
      </c>
    </row>
    <row r="52" spans="1:6" x14ac:dyDescent="0.35">
      <c r="A52" t="s">
        <v>247</v>
      </c>
      <c r="B52" t="s">
        <v>243</v>
      </c>
      <c r="C52">
        <v>42.166699999999999</v>
      </c>
      <c r="D52">
        <v>-71.133300000000006</v>
      </c>
      <c r="E52" t="s">
        <v>362</v>
      </c>
      <c r="F52">
        <v>25163</v>
      </c>
    </row>
    <row r="53" spans="1:6" x14ac:dyDescent="0.35">
      <c r="A53" t="s">
        <v>198</v>
      </c>
      <c r="B53" t="s">
        <v>187</v>
      </c>
      <c r="C53">
        <v>42.533299999999997</v>
      </c>
      <c r="D53">
        <v>-71.349999999999994</v>
      </c>
      <c r="E53" t="s">
        <v>362</v>
      </c>
      <c r="F53">
        <v>5317</v>
      </c>
    </row>
    <row r="54" spans="1:6" x14ac:dyDescent="0.35">
      <c r="A54" t="s">
        <v>273</v>
      </c>
      <c r="B54" t="s">
        <v>270</v>
      </c>
      <c r="C54">
        <v>41.9833</v>
      </c>
      <c r="D54">
        <v>-70.666700000000006</v>
      </c>
      <c r="E54" t="s">
        <v>362</v>
      </c>
      <c r="F54">
        <v>11817</v>
      </c>
    </row>
    <row r="55" spans="1:6" x14ac:dyDescent="0.35">
      <c r="A55" t="s">
        <v>119</v>
      </c>
      <c r="B55" t="s">
        <v>116</v>
      </c>
      <c r="C55">
        <v>42.633299999999998</v>
      </c>
      <c r="D55">
        <v>-72.900000000000006</v>
      </c>
      <c r="E55" t="s">
        <v>364</v>
      </c>
      <c r="F55">
        <v>1179</v>
      </c>
    </row>
    <row r="56" spans="1:6" x14ac:dyDescent="0.35">
      <c r="A56" t="s">
        <v>311</v>
      </c>
      <c r="B56" t="s">
        <v>302</v>
      </c>
      <c r="C56">
        <v>42.216700000000003</v>
      </c>
      <c r="D56">
        <v>-71.900000000000006</v>
      </c>
      <c r="E56" t="s">
        <v>363</v>
      </c>
      <c r="F56">
        <v>13606</v>
      </c>
    </row>
    <row r="57" spans="1:6" x14ac:dyDescent="0.35">
      <c r="A57" t="s">
        <v>7</v>
      </c>
      <c r="B57" t="s">
        <v>4</v>
      </c>
      <c r="C57">
        <v>41.695500000000003</v>
      </c>
      <c r="D57">
        <v>-69.960800000000006</v>
      </c>
      <c r="E57" t="s">
        <v>362</v>
      </c>
      <c r="F57">
        <v>6711</v>
      </c>
    </row>
    <row r="58" spans="1:6" x14ac:dyDescent="0.35">
      <c r="A58" t="s">
        <v>199</v>
      </c>
      <c r="B58" t="s">
        <v>187</v>
      </c>
      <c r="C58">
        <v>42.6</v>
      </c>
      <c r="D58">
        <v>-71.400000000000006</v>
      </c>
      <c r="E58" t="s">
        <v>362</v>
      </c>
      <c r="F58">
        <v>36953</v>
      </c>
    </row>
    <row r="59" spans="1:6" x14ac:dyDescent="0.35">
      <c r="A59" t="s">
        <v>298</v>
      </c>
      <c r="B59" t="s">
        <v>297</v>
      </c>
      <c r="C59">
        <v>42.3917</v>
      </c>
      <c r="D59">
        <v>-71.031700000000001</v>
      </c>
      <c r="E59" t="s">
        <v>362</v>
      </c>
      <c r="F59">
        <v>40245</v>
      </c>
    </row>
    <row r="60" spans="1:6" x14ac:dyDescent="0.35">
      <c r="A60" t="s">
        <v>23</v>
      </c>
      <c r="B60" t="s">
        <v>20</v>
      </c>
      <c r="C60">
        <v>42.566699999999997</v>
      </c>
      <c r="D60">
        <v>-73.3</v>
      </c>
      <c r="E60" t="s">
        <v>364</v>
      </c>
      <c r="F60">
        <v>3190</v>
      </c>
    </row>
    <row r="61" spans="1:6" x14ac:dyDescent="0.35">
      <c r="A61" t="s">
        <v>146</v>
      </c>
      <c r="B61" t="s">
        <v>143</v>
      </c>
      <c r="C61">
        <v>42.2667</v>
      </c>
      <c r="D61">
        <v>-73.066699999999997</v>
      </c>
      <c r="E61" t="s">
        <v>364</v>
      </c>
      <c r="F61">
        <v>1221</v>
      </c>
    </row>
    <row r="62" spans="1:6" x14ac:dyDescent="0.35">
      <c r="A62" t="s">
        <v>168</v>
      </c>
      <c r="B62" t="s">
        <v>166</v>
      </c>
      <c r="C62">
        <v>42.366700000000002</v>
      </c>
      <c r="D62">
        <v>-72.900000000000006</v>
      </c>
      <c r="E62" t="s">
        <v>364</v>
      </c>
      <c r="F62">
        <v>1174</v>
      </c>
    </row>
    <row r="63" spans="1:6" x14ac:dyDescent="0.35">
      <c r="A63" t="s">
        <v>147</v>
      </c>
      <c r="B63" t="s">
        <v>143</v>
      </c>
      <c r="C63">
        <v>42.160499999999999</v>
      </c>
      <c r="D63">
        <v>-72.578800000000001</v>
      </c>
      <c r="E63" t="s">
        <v>364</v>
      </c>
      <c r="F63">
        <v>55381</v>
      </c>
    </row>
    <row r="64" spans="1:6" x14ac:dyDescent="0.35">
      <c r="A64" t="s">
        <v>75</v>
      </c>
      <c r="B64" t="s">
        <v>74</v>
      </c>
      <c r="C64">
        <v>41.366700000000002</v>
      </c>
      <c r="D64">
        <v>-70.833299999999994</v>
      </c>
      <c r="E64" t="s">
        <v>362</v>
      </c>
      <c r="F64">
        <v>1249</v>
      </c>
    </row>
    <row r="65" spans="1:6" x14ac:dyDescent="0.35">
      <c r="A65" t="s">
        <v>24</v>
      </c>
      <c r="B65" t="s">
        <v>20</v>
      </c>
      <c r="C65">
        <v>42.683300000000003</v>
      </c>
      <c r="D65">
        <v>-73.2333</v>
      </c>
      <c r="E65" t="s">
        <v>364</v>
      </c>
      <c r="F65">
        <v>1637</v>
      </c>
    </row>
    <row r="66" spans="1:6" x14ac:dyDescent="0.35">
      <c r="A66" t="s">
        <v>312</v>
      </c>
      <c r="B66" t="s">
        <v>302</v>
      </c>
      <c r="C66">
        <v>42.416699999999999</v>
      </c>
      <c r="D66">
        <v>-71.683300000000003</v>
      </c>
      <c r="E66" t="s">
        <v>363</v>
      </c>
      <c r="F66">
        <v>15740</v>
      </c>
    </row>
    <row r="67" spans="1:6" x14ac:dyDescent="0.35">
      <c r="A67" t="s">
        <v>248</v>
      </c>
      <c r="B67" t="s">
        <v>243</v>
      </c>
      <c r="C67">
        <v>42.2333</v>
      </c>
      <c r="D67">
        <v>-70.8</v>
      </c>
      <c r="E67" t="s">
        <v>362</v>
      </c>
      <c r="F67">
        <v>8532</v>
      </c>
    </row>
    <row r="68" spans="1:6" x14ac:dyDescent="0.35">
      <c r="A68" t="s">
        <v>120</v>
      </c>
      <c r="B68" t="s">
        <v>116</v>
      </c>
      <c r="C68">
        <v>42.7</v>
      </c>
      <c r="D68">
        <v>-72.716700000000003</v>
      </c>
      <c r="E68" t="s">
        <v>364</v>
      </c>
      <c r="F68">
        <v>1643</v>
      </c>
    </row>
    <row r="69" spans="1:6" x14ac:dyDescent="0.35">
      <c r="A69" t="s">
        <v>200</v>
      </c>
      <c r="B69" t="s">
        <v>187</v>
      </c>
      <c r="C69">
        <v>42.460500000000003</v>
      </c>
      <c r="D69">
        <v>-71.344399999999993</v>
      </c>
      <c r="E69" t="s">
        <v>362</v>
      </c>
      <c r="F69">
        <v>18092</v>
      </c>
    </row>
    <row r="70" spans="1:6" x14ac:dyDescent="0.35">
      <c r="A70" t="s">
        <v>121</v>
      </c>
      <c r="B70" t="s">
        <v>116</v>
      </c>
      <c r="C70">
        <v>42.533299999999997</v>
      </c>
      <c r="D70">
        <v>-72.849999999999994</v>
      </c>
      <c r="E70" t="s">
        <v>364</v>
      </c>
      <c r="F70">
        <v>1754</v>
      </c>
    </row>
    <row r="71" spans="1:6" x14ac:dyDescent="0.35">
      <c r="A71" t="s">
        <v>169</v>
      </c>
      <c r="B71" t="s">
        <v>166</v>
      </c>
      <c r="C71">
        <v>42.4</v>
      </c>
      <c r="D71">
        <v>-72.9833</v>
      </c>
      <c r="E71" t="s">
        <v>364</v>
      </c>
      <c r="F71">
        <v>819</v>
      </c>
    </row>
    <row r="72" spans="1:6" x14ac:dyDescent="0.35">
      <c r="A72" t="s">
        <v>25</v>
      </c>
      <c r="B72" t="s">
        <v>20</v>
      </c>
      <c r="C72">
        <v>42.466700000000003</v>
      </c>
      <c r="D72">
        <v>-73.25</v>
      </c>
      <c r="E72" t="s">
        <v>364</v>
      </c>
      <c r="F72">
        <v>6198</v>
      </c>
    </row>
    <row r="73" spans="1:6" x14ac:dyDescent="0.35">
      <c r="A73" t="s">
        <v>86</v>
      </c>
      <c r="B73" t="s">
        <v>82</v>
      </c>
      <c r="C73">
        <v>42.536700000000003</v>
      </c>
      <c r="D73">
        <v>-70.966700000000003</v>
      </c>
      <c r="E73" t="s">
        <v>362</v>
      </c>
      <c r="F73">
        <v>28590</v>
      </c>
    </row>
    <row r="74" spans="1:6" x14ac:dyDescent="0.35">
      <c r="A74" t="s">
        <v>56</v>
      </c>
      <c r="B74" t="s">
        <v>53</v>
      </c>
      <c r="C74">
        <v>41.654800000000002</v>
      </c>
      <c r="D74">
        <v>-71.177400000000006</v>
      </c>
      <c r="E74" t="s">
        <v>362</v>
      </c>
      <c r="F74">
        <v>34139</v>
      </c>
    </row>
    <row r="75" spans="1:6" x14ac:dyDescent="0.35">
      <c r="A75" t="s">
        <v>249</v>
      </c>
      <c r="B75" t="s">
        <v>243</v>
      </c>
      <c r="C75">
        <v>42.243000000000002</v>
      </c>
      <c r="D75">
        <v>-71.181899999999999</v>
      </c>
      <c r="E75" t="s">
        <v>362</v>
      </c>
      <c r="F75">
        <v>25485</v>
      </c>
    </row>
    <row r="76" spans="1:6" x14ac:dyDescent="0.35">
      <c r="A76" t="s">
        <v>122</v>
      </c>
      <c r="B76" t="s">
        <v>116</v>
      </c>
      <c r="C76">
        <v>42.583300000000001</v>
      </c>
      <c r="D76">
        <v>-72.616699999999994</v>
      </c>
      <c r="E76" t="s">
        <v>364</v>
      </c>
      <c r="F76">
        <v>5177</v>
      </c>
    </row>
    <row r="77" spans="1:6" x14ac:dyDescent="0.35">
      <c r="A77" t="s">
        <v>8</v>
      </c>
      <c r="B77" t="s">
        <v>4</v>
      </c>
      <c r="C77">
        <v>41.780999999999999</v>
      </c>
      <c r="D77">
        <v>-70.014700000000005</v>
      </c>
      <c r="E77" t="s">
        <v>362</v>
      </c>
      <c r="F77">
        <v>14862</v>
      </c>
    </row>
    <row r="78" spans="1:6" x14ac:dyDescent="0.35">
      <c r="A78" t="s">
        <v>57</v>
      </c>
      <c r="B78" t="s">
        <v>53</v>
      </c>
      <c r="C78">
        <v>42.0167</v>
      </c>
      <c r="D78">
        <v>-71.25</v>
      </c>
      <c r="E78" t="s">
        <v>362</v>
      </c>
      <c r="F78">
        <v>8275</v>
      </c>
    </row>
    <row r="79" spans="1:6" x14ac:dyDescent="0.35">
      <c r="A79" t="s">
        <v>313</v>
      </c>
      <c r="B79" t="s">
        <v>302</v>
      </c>
      <c r="C79">
        <v>42.083300000000001</v>
      </c>
      <c r="D79">
        <v>-71.75</v>
      </c>
      <c r="E79" t="s">
        <v>363</v>
      </c>
      <c r="F79">
        <v>9452</v>
      </c>
    </row>
    <row r="80" spans="1:6" x14ac:dyDescent="0.35">
      <c r="A80" t="s">
        <v>250</v>
      </c>
      <c r="B80" t="s">
        <v>243</v>
      </c>
      <c r="C80">
        <v>42.183300000000003</v>
      </c>
      <c r="D80">
        <v>-71.2667</v>
      </c>
      <c r="E80" t="s">
        <v>362</v>
      </c>
      <c r="F80">
        <v>6057</v>
      </c>
    </row>
    <row r="81" spans="1:6" x14ac:dyDescent="0.35">
      <c r="A81" t="s">
        <v>201</v>
      </c>
      <c r="B81" t="s">
        <v>187</v>
      </c>
      <c r="C81">
        <v>42.633299999999998</v>
      </c>
      <c r="D81">
        <v>-71.333299999999994</v>
      </c>
      <c r="E81" t="s">
        <v>362</v>
      </c>
      <c r="F81">
        <v>32972</v>
      </c>
    </row>
    <row r="82" spans="1:6" x14ac:dyDescent="0.35">
      <c r="A82" t="s">
        <v>314</v>
      </c>
      <c r="B82" t="s">
        <v>302</v>
      </c>
      <c r="C82">
        <v>42.033299999999997</v>
      </c>
      <c r="D82">
        <v>-71.833299999999994</v>
      </c>
      <c r="E82" t="s">
        <v>363</v>
      </c>
      <c r="F82">
        <v>11984</v>
      </c>
    </row>
    <row r="83" spans="1:6" x14ac:dyDescent="0.35">
      <c r="A83" t="s">
        <v>202</v>
      </c>
      <c r="B83" t="s">
        <v>187</v>
      </c>
      <c r="C83">
        <v>42.65</v>
      </c>
      <c r="D83">
        <v>-71.45</v>
      </c>
      <c r="E83" t="s">
        <v>362</v>
      </c>
      <c r="F83">
        <v>3500</v>
      </c>
    </row>
    <row r="84" spans="1:6" x14ac:dyDescent="0.35">
      <c r="A84" t="s">
        <v>274</v>
      </c>
      <c r="B84" t="s">
        <v>270</v>
      </c>
      <c r="C84">
        <v>42.033299999999997</v>
      </c>
      <c r="D84">
        <v>-70.666700000000006</v>
      </c>
      <c r="E84" t="s">
        <v>362</v>
      </c>
      <c r="F84">
        <v>16377</v>
      </c>
    </row>
    <row r="85" spans="1:6" x14ac:dyDescent="0.35">
      <c r="A85" t="s">
        <v>275</v>
      </c>
      <c r="B85" t="s">
        <v>270</v>
      </c>
      <c r="C85">
        <v>41.966700000000003</v>
      </c>
      <c r="D85">
        <v>-70.916700000000006</v>
      </c>
      <c r="E85" t="s">
        <v>362</v>
      </c>
      <c r="F85">
        <v>14519</v>
      </c>
    </row>
    <row r="86" spans="1:6" x14ac:dyDescent="0.35">
      <c r="A86" t="s">
        <v>315</v>
      </c>
      <c r="B86" t="s">
        <v>302</v>
      </c>
      <c r="C86">
        <v>42.166699999999999</v>
      </c>
      <c r="D86">
        <v>-72.05</v>
      </c>
      <c r="E86" t="s">
        <v>363</v>
      </c>
      <c r="F86">
        <v>2237</v>
      </c>
    </row>
    <row r="87" spans="1:6" x14ac:dyDescent="0.35">
      <c r="A87" t="s">
        <v>148</v>
      </c>
      <c r="B87" t="s">
        <v>143</v>
      </c>
      <c r="C87">
        <v>42.033299999999997</v>
      </c>
      <c r="D87">
        <v>-72.5</v>
      </c>
      <c r="E87" t="s">
        <v>364</v>
      </c>
      <c r="F87">
        <v>16515</v>
      </c>
    </row>
    <row r="88" spans="1:6" x14ac:dyDescent="0.35">
      <c r="A88" t="s">
        <v>9</v>
      </c>
      <c r="B88" t="s">
        <v>4</v>
      </c>
      <c r="C88">
        <v>41.834299999999999</v>
      </c>
      <c r="D88">
        <v>-69.986199999999997</v>
      </c>
      <c r="E88" t="s">
        <v>362</v>
      </c>
      <c r="F88">
        <v>5824</v>
      </c>
    </row>
    <row r="89" spans="1:6" x14ac:dyDescent="0.35">
      <c r="A89" t="s">
        <v>170</v>
      </c>
      <c r="B89" t="s">
        <v>166</v>
      </c>
      <c r="C89">
        <v>42.2667</v>
      </c>
      <c r="D89">
        <v>-72.7</v>
      </c>
      <c r="E89" t="s">
        <v>364</v>
      </c>
      <c r="F89">
        <v>16103</v>
      </c>
    </row>
    <row r="90" spans="1:6" x14ac:dyDescent="0.35">
      <c r="A90" t="s">
        <v>58</v>
      </c>
      <c r="B90" t="s">
        <v>53</v>
      </c>
      <c r="C90">
        <v>42.066699999999997</v>
      </c>
      <c r="D90">
        <v>-71.133300000000006</v>
      </c>
      <c r="E90" t="s">
        <v>362</v>
      </c>
      <c r="F90">
        <v>25568</v>
      </c>
    </row>
    <row r="91" spans="1:6" x14ac:dyDescent="0.35">
      <c r="A91" t="s">
        <v>76</v>
      </c>
      <c r="B91" t="s">
        <v>74</v>
      </c>
      <c r="C91">
        <v>41.391300000000001</v>
      </c>
      <c r="D91">
        <v>-70.513900000000007</v>
      </c>
      <c r="E91" t="s">
        <v>362</v>
      </c>
      <c r="F91">
        <v>5328</v>
      </c>
    </row>
    <row r="92" spans="1:6" x14ac:dyDescent="0.35">
      <c r="A92" t="s">
        <v>26</v>
      </c>
      <c r="B92" t="s">
        <v>20</v>
      </c>
      <c r="C92">
        <v>42.216999999999999</v>
      </c>
      <c r="D92">
        <v>-73.466700000000003</v>
      </c>
      <c r="E92" t="s">
        <v>364</v>
      </c>
      <c r="F92">
        <v>1375</v>
      </c>
    </row>
    <row r="93" spans="1:6" x14ac:dyDescent="0.35">
      <c r="A93" t="s">
        <v>123</v>
      </c>
      <c r="B93" t="s">
        <v>116</v>
      </c>
      <c r="C93">
        <v>42.616700000000002</v>
      </c>
      <c r="D93">
        <v>-72.4833</v>
      </c>
      <c r="E93" t="s">
        <v>364</v>
      </c>
      <c r="F93">
        <v>1661</v>
      </c>
    </row>
    <row r="94" spans="1:6" x14ac:dyDescent="0.35">
      <c r="A94" t="s">
        <v>82</v>
      </c>
      <c r="B94" t="s">
        <v>82</v>
      </c>
      <c r="C94">
        <v>42.616700000000002</v>
      </c>
      <c r="D94">
        <v>-70.783299999999997</v>
      </c>
      <c r="E94" t="s">
        <v>362</v>
      </c>
      <c r="F94">
        <v>3760</v>
      </c>
    </row>
    <row r="95" spans="1:6" x14ac:dyDescent="0.35">
      <c r="A95" t="s">
        <v>203</v>
      </c>
      <c r="B95" t="s">
        <v>187</v>
      </c>
      <c r="C95">
        <v>42.4</v>
      </c>
      <c r="D95">
        <v>-71.05</v>
      </c>
      <c r="E95" t="s">
        <v>362</v>
      </c>
      <c r="F95">
        <v>51825</v>
      </c>
    </row>
    <row r="96" spans="1:6" x14ac:dyDescent="0.35">
      <c r="A96" t="s">
        <v>59</v>
      </c>
      <c r="B96" t="s">
        <v>53</v>
      </c>
      <c r="C96">
        <v>41.633299999999998</v>
      </c>
      <c r="D96">
        <v>-71.083299999999994</v>
      </c>
      <c r="E96" t="s">
        <v>362</v>
      </c>
      <c r="F96">
        <v>16005</v>
      </c>
    </row>
    <row r="97" spans="1:6" x14ac:dyDescent="0.35">
      <c r="A97" t="s">
        <v>60</v>
      </c>
      <c r="B97" t="s">
        <v>53</v>
      </c>
      <c r="C97">
        <v>41.703800000000001</v>
      </c>
      <c r="D97">
        <v>-71.155100000000004</v>
      </c>
      <c r="E97" t="s">
        <v>362</v>
      </c>
      <c r="F97">
        <v>94689</v>
      </c>
    </row>
    <row r="98" spans="1:6" x14ac:dyDescent="0.35">
      <c r="A98" t="s">
        <v>10</v>
      </c>
      <c r="B98" t="s">
        <v>4</v>
      </c>
      <c r="C98">
        <v>41.654800000000002</v>
      </c>
      <c r="D98">
        <v>-70.286900000000003</v>
      </c>
      <c r="E98" t="s">
        <v>362</v>
      </c>
      <c r="F98">
        <v>33227</v>
      </c>
    </row>
    <row r="99" spans="1:6" x14ac:dyDescent="0.35">
      <c r="A99" t="s">
        <v>316</v>
      </c>
      <c r="B99" t="s">
        <v>302</v>
      </c>
      <c r="C99">
        <v>42.583300000000001</v>
      </c>
      <c r="D99">
        <v>-71.8</v>
      </c>
      <c r="E99" t="s">
        <v>363</v>
      </c>
      <c r="F99">
        <v>42145</v>
      </c>
    </row>
    <row r="100" spans="1:6" x14ac:dyDescent="0.35">
      <c r="A100" t="s">
        <v>27</v>
      </c>
      <c r="B100" t="s">
        <v>20</v>
      </c>
      <c r="C100">
        <v>42.633299999999998</v>
      </c>
      <c r="D100">
        <v>-73.183300000000003</v>
      </c>
      <c r="E100" t="s">
        <v>364</v>
      </c>
      <c r="F100">
        <v>673</v>
      </c>
    </row>
    <row r="101" spans="1:6" x14ac:dyDescent="0.35">
      <c r="A101" t="s">
        <v>251</v>
      </c>
      <c r="B101" t="s">
        <v>243</v>
      </c>
      <c r="C101">
        <v>42.066699999999997</v>
      </c>
      <c r="D101">
        <v>-71.2333</v>
      </c>
      <c r="E101" t="s">
        <v>362</v>
      </c>
      <c r="F101">
        <v>18791</v>
      </c>
    </row>
    <row r="102" spans="1:6" x14ac:dyDescent="0.35">
      <c r="A102" t="s">
        <v>204</v>
      </c>
      <c r="B102" t="s">
        <v>187</v>
      </c>
      <c r="C102">
        <v>42.282800000000002</v>
      </c>
      <c r="D102">
        <v>-71.416700000000006</v>
      </c>
      <c r="E102" t="s">
        <v>362</v>
      </c>
      <c r="F102">
        <v>73361</v>
      </c>
    </row>
    <row r="103" spans="1:6" x14ac:dyDescent="0.35">
      <c r="A103" t="s">
        <v>116</v>
      </c>
      <c r="B103" t="s">
        <v>243</v>
      </c>
      <c r="C103">
        <v>42.1</v>
      </c>
      <c r="D103">
        <v>-71.400000000000006</v>
      </c>
      <c r="E103" t="s">
        <v>362</v>
      </c>
      <c r="F103">
        <v>33742</v>
      </c>
    </row>
    <row r="104" spans="1:6" x14ac:dyDescent="0.35">
      <c r="A104" t="s">
        <v>61</v>
      </c>
      <c r="B104" t="s">
        <v>53</v>
      </c>
      <c r="C104">
        <v>41.816699999999997</v>
      </c>
      <c r="D104">
        <v>-71.216700000000003</v>
      </c>
      <c r="E104" t="s">
        <v>362</v>
      </c>
      <c r="F104">
        <v>9380</v>
      </c>
    </row>
    <row r="105" spans="1:6" x14ac:dyDescent="0.35">
      <c r="A105" t="s">
        <v>317</v>
      </c>
      <c r="B105" t="s">
        <v>302</v>
      </c>
      <c r="C105">
        <v>42.583300000000001</v>
      </c>
      <c r="D105">
        <v>-71.966700000000003</v>
      </c>
      <c r="E105" t="s">
        <v>363</v>
      </c>
      <c r="F105">
        <v>21381</v>
      </c>
    </row>
    <row r="106" spans="1:6" x14ac:dyDescent="0.35">
      <c r="A106" t="s">
        <v>87</v>
      </c>
      <c r="B106" t="s">
        <v>82</v>
      </c>
      <c r="C106">
        <v>42.75</v>
      </c>
      <c r="D106">
        <v>-71.0167</v>
      </c>
      <c r="E106" t="s">
        <v>362</v>
      </c>
      <c r="F106">
        <v>8558</v>
      </c>
    </row>
    <row r="107" spans="1:6" x14ac:dyDescent="0.35">
      <c r="A107" t="s">
        <v>124</v>
      </c>
      <c r="B107" t="s">
        <v>116</v>
      </c>
      <c r="C107">
        <v>42.633299999999998</v>
      </c>
      <c r="D107">
        <v>-72.5</v>
      </c>
      <c r="E107" t="s">
        <v>364</v>
      </c>
      <c r="F107">
        <v>1553</v>
      </c>
    </row>
    <row r="108" spans="1:6" x14ac:dyDescent="0.35">
      <c r="A108" t="s">
        <v>88</v>
      </c>
      <c r="B108" t="s">
        <v>82</v>
      </c>
      <c r="C108">
        <v>42.633299999999998</v>
      </c>
      <c r="D108">
        <v>-70.666700000000006</v>
      </c>
      <c r="E108" t="s">
        <v>362</v>
      </c>
      <c r="F108">
        <v>30491</v>
      </c>
    </row>
    <row r="109" spans="1:6" x14ac:dyDescent="0.35">
      <c r="A109" t="s">
        <v>171</v>
      </c>
      <c r="B109" t="s">
        <v>166</v>
      </c>
      <c r="C109">
        <v>42.466700000000003</v>
      </c>
      <c r="D109">
        <v>-72.816699999999997</v>
      </c>
      <c r="E109" t="s">
        <v>364</v>
      </c>
      <c r="F109">
        <v>942</v>
      </c>
    </row>
    <row r="110" spans="1:6" x14ac:dyDescent="0.35">
      <c r="A110" t="s">
        <v>77</v>
      </c>
      <c r="B110" t="s">
        <v>74</v>
      </c>
      <c r="C110">
        <v>41.416699999999999</v>
      </c>
      <c r="D110">
        <v>-70.883300000000006</v>
      </c>
      <c r="E110" t="s">
        <v>362</v>
      </c>
      <c r="F110">
        <v>62</v>
      </c>
    </row>
    <row r="111" spans="1:6" x14ac:dyDescent="0.35">
      <c r="A111" t="s">
        <v>318</v>
      </c>
      <c r="B111" t="s">
        <v>302</v>
      </c>
      <c r="C111">
        <v>42.2333</v>
      </c>
      <c r="D111">
        <v>-71.7</v>
      </c>
      <c r="E111" t="s">
        <v>363</v>
      </c>
      <c r="F111">
        <v>20352</v>
      </c>
    </row>
    <row r="112" spans="1:6" x14ac:dyDescent="0.35">
      <c r="A112" t="s">
        <v>172</v>
      </c>
      <c r="B112" t="s">
        <v>166</v>
      </c>
      <c r="C112">
        <v>42.25</v>
      </c>
      <c r="D112">
        <v>-72.5167</v>
      </c>
      <c r="E112" t="s">
        <v>364</v>
      </c>
      <c r="F112">
        <v>6064</v>
      </c>
    </row>
    <row r="113" spans="1:6" x14ac:dyDescent="0.35">
      <c r="A113" t="s">
        <v>149</v>
      </c>
      <c r="B113" t="s">
        <v>143</v>
      </c>
      <c r="C113">
        <v>42.133299999999998</v>
      </c>
      <c r="D113">
        <v>-73.2</v>
      </c>
      <c r="E113" t="s">
        <v>364</v>
      </c>
      <c r="F113">
        <v>1540</v>
      </c>
    </row>
    <row r="114" spans="1:6" x14ac:dyDescent="0.35">
      <c r="A114" t="s">
        <v>28</v>
      </c>
      <c r="B114" t="s">
        <v>20</v>
      </c>
      <c r="C114">
        <v>42.191200000000002</v>
      </c>
      <c r="D114">
        <v>-73.366100000000003</v>
      </c>
      <c r="E114" t="s">
        <v>364</v>
      </c>
      <c r="F114">
        <v>7245</v>
      </c>
    </row>
    <row r="115" spans="1:6" x14ac:dyDescent="0.35">
      <c r="A115" t="s">
        <v>125</v>
      </c>
      <c r="B115" t="s">
        <v>116</v>
      </c>
      <c r="C115">
        <v>42.596600000000002</v>
      </c>
      <c r="D115">
        <v>-72.596100000000007</v>
      </c>
      <c r="E115" t="s">
        <v>364</v>
      </c>
      <c r="F115">
        <v>17633</v>
      </c>
    </row>
    <row r="116" spans="1:6" x14ac:dyDescent="0.35">
      <c r="A116" t="s">
        <v>205</v>
      </c>
      <c r="B116" t="s">
        <v>187</v>
      </c>
      <c r="C116">
        <v>42.6</v>
      </c>
      <c r="D116">
        <v>-71.55</v>
      </c>
      <c r="E116" t="s">
        <v>362</v>
      </c>
      <c r="F116">
        <v>11580</v>
      </c>
    </row>
    <row r="117" spans="1:6" x14ac:dyDescent="0.35">
      <c r="A117" t="s">
        <v>89</v>
      </c>
      <c r="B117" t="s">
        <v>82</v>
      </c>
      <c r="C117">
        <v>42.816699999999997</v>
      </c>
      <c r="D117">
        <v>-71.083299999999994</v>
      </c>
      <c r="E117" t="s">
        <v>362</v>
      </c>
      <c r="F117">
        <v>6849</v>
      </c>
    </row>
    <row r="118" spans="1:6" x14ac:dyDescent="0.35">
      <c r="A118" t="s">
        <v>173</v>
      </c>
      <c r="B118" t="s">
        <v>166</v>
      </c>
      <c r="C118">
        <v>42.333300000000001</v>
      </c>
      <c r="D118">
        <v>-72.533299999999997</v>
      </c>
      <c r="E118" t="s">
        <v>364</v>
      </c>
      <c r="F118">
        <v>5284</v>
      </c>
    </row>
    <row r="119" spans="1:6" x14ac:dyDescent="0.35">
      <c r="A119" t="s">
        <v>276</v>
      </c>
      <c r="B119" t="s">
        <v>270</v>
      </c>
      <c r="C119">
        <v>41.883299999999998</v>
      </c>
      <c r="D119">
        <v>-70.933300000000003</v>
      </c>
      <c r="E119" t="s">
        <v>362</v>
      </c>
      <c r="F119">
        <v>7786</v>
      </c>
    </row>
    <row r="120" spans="1:6" x14ac:dyDescent="0.35">
      <c r="A120" t="s">
        <v>90</v>
      </c>
      <c r="B120" t="s">
        <v>82</v>
      </c>
      <c r="C120">
        <v>42.583300000000001</v>
      </c>
      <c r="D120">
        <v>-70.849999999999994</v>
      </c>
      <c r="E120" t="s">
        <v>362</v>
      </c>
      <c r="F120">
        <v>7670</v>
      </c>
    </row>
    <row r="121" spans="1:6" x14ac:dyDescent="0.35">
      <c r="A121" t="s">
        <v>143</v>
      </c>
      <c r="B121" t="s">
        <v>143</v>
      </c>
      <c r="C121">
        <v>42.05</v>
      </c>
      <c r="D121">
        <v>-72.349999999999994</v>
      </c>
      <c r="E121" t="s">
        <v>364</v>
      </c>
      <c r="F121">
        <v>4964</v>
      </c>
    </row>
    <row r="122" spans="1:6" x14ac:dyDescent="0.35">
      <c r="A122" t="s">
        <v>29</v>
      </c>
      <c r="B122" t="s">
        <v>20</v>
      </c>
      <c r="C122">
        <v>42.333300000000001</v>
      </c>
      <c r="D122">
        <v>-73.2</v>
      </c>
      <c r="E122" t="s">
        <v>364</v>
      </c>
      <c r="F122">
        <v>740</v>
      </c>
    </row>
    <row r="123" spans="1:6" x14ac:dyDescent="0.35">
      <c r="A123" t="s">
        <v>277</v>
      </c>
      <c r="B123" t="s">
        <v>270</v>
      </c>
      <c r="C123">
        <v>42.116700000000002</v>
      </c>
      <c r="D123">
        <v>-70.866699999999994</v>
      </c>
      <c r="E123" t="s">
        <v>362</v>
      </c>
      <c r="F123">
        <v>14887</v>
      </c>
    </row>
    <row r="124" spans="1:6" x14ac:dyDescent="0.35">
      <c r="A124" t="s">
        <v>278</v>
      </c>
      <c r="B124" t="s">
        <v>270</v>
      </c>
      <c r="C124">
        <v>41.966700000000003</v>
      </c>
      <c r="D124">
        <v>-70.866699999999994</v>
      </c>
      <c r="E124" t="s">
        <v>362</v>
      </c>
      <c r="F124">
        <v>10719</v>
      </c>
    </row>
    <row r="125" spans="1:6" x14ac:dyDescent="0.35">
      <c r="A125" t="s">
        <v>319</v>
      </c>
      <c r="B125" t="s">
        <v>302</v>
      </c>
      <c r="C125">
        <v>42.3</v>
      </c>
      <c r="D125">
        <v>-72.25</v>
      </c>
      <c r="E125" t="s">
        <v>363</v>
      </c>
      <c r="F125">
        <v>2722</v>
      </c>
    </row>
    <row r="126" spans="1:6" x14ac:dyDescent="0.35">
      <c r="A126" t="s">
        <v>320</v>
      </c>
      <c r="B126" t="s">
        <v>302</v>
      </c>
      <c r="C126">
        <v>42.5</v>
      </c>
      <c r="D126">
        <v>-71.616699999999994</v>
      </c>
      <c r="E126" t="s">
        <v>363</v>
      </c>
      <c r="F126">
        <v>7004</v>
      </c>
    </row>
    <row r="127" spans="1:6" x14ac:dyDescent="0.35">
      <c r="A127" t="s">
        <v>11</v>
      </c>
      <c r="B127" t="s">
        <v>4</v>
      </c>
      <c r="C127">
        <v>41.702800000000003</v>
      </c>
      <c r="D127">
        <v>-70.057299999999998</v>
      </c>
      <c r="E127" t="s">
        <v>362</v>
      </c>
      <c r="F127">
        <v>13620</v>
      </c>
    </row>
    <row r="128" spans="1:6" x14ac:dyDescent="0.35">
      <c r="A128" t="s">
        <v>174</v>
      </c>
      <c r="B128" t="s">
        <v>166</v>
      </c>
      <c r="C128">
        <v>42.383299999999998</v>
      </c>
      <c r="D128">
        <v>-72.55</v>
      </c>
      <c r="E128" t="s">
        <v>364</v>
      </c>
      <c r="F128">
        <v>3321</v>
      </c>
    </row>
    <row r="129" spans="1:6" x14ac:dyDescent="0.35">
      <c r="A129" t="s">
        <v>91</v>
      </c>
      <c r="B129" t="s">
        <v>82</v>
      </c>
      <c r="C129">
        <v>42.778500000000001</v>
      </c>
      <c r="D129">
        <v>-71.075900000000004</v>
      </c>
      <c r="E129" t="s">
        <v>362</v>
      </c>
      <c r="F129">
        <v>68291</v>
      </c>
    </row>
    <row r="130" spans="1:6" x14ac:dyDescent="0.35">
      <c r="A130" t="s">
        <v>126</v>
      </c>
      <c r="B130" t="s">
        <v>116</v>
      </c>
      <c r="C130">
        <v>42.566699999999997</v>
      </c>
      <c r="D130">
        <v>-72.833299999999994</v>
      </c>
      <c r="E130" t="s">
        <v>364</v>
      </c>
      <c r="F130">
        <v>352</v>
      </c>
    </row>
    <row r="131" spans="1:6" x14ac:dyDescent="0.35">
      <c r="A131" t="s">
        <v>127</v>
      </c>
      <c r="B131" t="s">
        <v>116</v>
      </c>
      <c r="C131">
        <v>42.5167</v>
      </c>
      <c r="D131">
        <v>-72.916700000000006</v>
      </c>
      <c r="E131" t="s">
        <v>364</v>
      </c>
      <c r="F131">
        <v>717</v>
      </c>
    </row>
    <row r="132" spans="1:6" x14ac:dyDescent="0.35">
      <c r="A132" t="s">
        <v>279</v>
      </c>
      <c r="B132" t="s">
        <v>270</v>
      </c>
      <c r="C132">
        <v>42.2333</v>
      </c>
      <c r="D132">
        <v>-70.883300000000006</v>
      </c>
      <c r="E132" t="s">
        <v>362</v>
      </c>
      <c r="F132">
        <v>24414</v>
      </c>
    </row>
    <row r="133" spans="1:6" x14ac:dyDescent="0.35">
      <c r="A133" t="s">
        <v>30</v>
      </c>
      <c r="B133" t="s">
        <v>20</v>
      </c>
      <c r="C133">
        <v>42.45</v>
      </c>
      <c r="D133">
        <v>-73.183300000000003</v>
      </c>
      <c r="E133" t="s">
        <v>364</v>
      </c>
      <c r="F133">
        <v>1890</v>
      </c>
    </row>
    <row r="134" spans="1:6" x14ac:dyDescent="0.35">
      <c r="A134" t="s">
        <v>252</v>
      </c>
      <c r="B134" t="s">
        <v>243</v>
      </c>
      <c r="C134">
        <v>42.166699999999999</v>
      </c>
      <c r="D134">
        <v>-71</v>
      </c>
      <c r="E134" t="s">
        <v>362</v>
      </c>
      <c r="F134">
        <v>11475</v>
      </c>
    </row>
    <row r="135" spans="1:6" x14ac:dyDescent="0.35">
      <c r="A135" t="s">
        <v>321</v>
      </c>
      <c r="B135" t="s">
        <v>302</v>
      </c>
      <c r="C135">
        <v>42.35</v>
      </c>
      <c r="D135">
        <v>-71.833299999999994</v>
      </c>
      <c r="E135" t="s">
        <v>363</v>
      </c>
      <c r="F135">
        <v>20326</v>
      </c>
    </row>
    <row r="136" spans="1:6" x14ac:dyDescent="0.35">
      <c r="A136" t="s">
        <v>150</v>
      </c>
      <c r="B136" t="s">
        <v>143</v>
      </c>
      <c r="C136">
        <v>42.083300000000001</v>
      </c>
      <c r="D136">
        <v>-72.2333</v>
      </c>
      <c r="E136" t="s">
        <v>364</v>
      </c>
      <c r="F136">
        <v>2581</v>
      </c>
    </row>
    <row r="137" spans="1:6" x14ac:dyDescent="0.35">
      <c r="A137" t="s">
        <v>206</v>
      </c>
      <c r="B137" t="s">
        <v>187</v>
      </c>
      <c r="C137">
        <v>42.183300000000003</v>
      </c>
      <c r="D137">
        <v>-71.433300000000003</v>
      </c>
      <c r="E137" t="s">
        <v>362</v>
      </c>
      <c r="F137">
        <v>15347</v>
      </c>
    </row>
    <row r="138" spans="1:6" x14ac:dyDescent="0.35">
      <c r="A138" t="s">
        <v>151</v>
      </c>
      <c r="B138" t="s">
        <v>143</v>
      </c>
      <c r="C138">
        <v>42.203800000000001</v>
      </c>
      <c r="D138">
        <v>-72.618899999999996</v>
      </c>
      <c r="E138" t="s">
        <v>364</v>
      </c>
      <c r="F138">
        <v>37838</v>
      </c>
    </row>
    <row r="139" spans="1:6" x14ac:dyDescent="0.35">
      <c r="A139" t="s">
        <v>322</v>
      </c>
      <c r="B139" t="s">
        <v>302</v>
      </c>
      <c r="C139">
        <v>42.133299999999998</v>
      </c>
      <c r="D139">
        <v>-71.566699999999997</v>
      </c>
      <c r="E139" t="s">
        <v>363</v>
      </c>
      <c r="F139">
        <v>6063</v>
      </c>
    </row>
    <row r="140" spans="1:6" x14ac:dyDescent="0.35">
      <c r="A140" t="s">
        <v>207</v>
      </c>
      <c r="B140" t="s">
        <v>187</v>
      </c>
      <c r="C140">
        <v>42.2333</v>
      </c>
      <c r="D140">
        <v>-71.533299999999997</v>
      </c>
      <c r="E140" t="s">
        <v>362</v>
      </c>
      <c r="F140">
        <v>19971</v>
      </c>
    </row>
    <row r="141" spans="1:6" x14ac:dyDescent="0.35">
      <c r="A141" t="s">
        <v>323</v>
      </c>
      <c r="B141" t="s">
        <v>302</v>
      </c>
      <c r="C141">
        <v>42.45</v>
      </c>
      <c r="D141">
        <v>-72.0167</v>
      </c>
      <c r="E141" t="s">
        <v>363</v>
      </c>
      <c r="F141">
        <v>4433</v>
      </c>
    </row>
    <row r="142" spans="1:6" x14ac:dyDescent="0.35">
      <c r="A142" t="s">
        <v>208</v>
      </c>
      <c r="B142" t="s">
        <v>187</v>
      </c>
      <c r="C142">
        <v>42.383299999999998</v>
      </c>
      <c r="D142">
        <v>-71.566699999999997</v>
      </c>
      <c r="E142" t="s">
        <v>362</v>
      </c>
      <c r="F142">
        <v>20364</v>
      </c>
    </row>
    <row r="143" spans="1:6" x14ac:dyDescent="0.35">
      <c r="A143" t="s">
        <v>280</v>
      </c>
      <c r="B143" t="s">
        <v>270</v>
      </c>
      <c r="C143">
        <v>42.333300000000001</v>
      </c>
      <c r="D143">
        <v>-70.916700000000006</v>
      </c>
      <c r="E143" t="s">
        <v>362</v>
      </c>
      <c r="F143">
        <v>10278</v>
      </c>
    </row>
    <row r="144" spans="1:6" x14ac:dyDescent="0.35">
      <c r="A144" t="s">
        <v>175</v>
      </c>
      <c r="B144" t="s">
        <v>166</v>
      </c>
      <c r="C144">
        <v>42.2667</v>
      </c>
      <c r="D144">
        <v>-72.933300000000003</v>
      </c>
      <c r="E144" t="s">
        <v>364</v>
      </c>
      <c r="F144">
        <v>2071</v>
      </c>
    </row>
    <row r="145" spans="1:6" x14ac:dyDescent="0.35">
      <c r="A145" t="s">
        <v>92</v>
      </c>
      <c r="B145" t="s">
        <v>82</v>
      </c>
      <c r="C145">
        <v>42.683100000000003</v>
      </c>
      <c r="D145">
        <v>-70.851399999999998</v>
      </c>
      <c r="E145" t="s">
        <v>362</v>
      </c>
      <c r="F145">
        <v>14110</v>
      </c>
    </row>
    <row r="146" spans="1:6" x14ac:dyDescent="0.35">
      <c r="A146" t="s">
        <v>281</v>
      </c>
      <c r="B146" t="s">
        <v>270</v>
      </c>
      <c r="C146">
        <v>41.933300000000003</v>
      </c>
      <c r="D146">
        <v>-70.666700000000006</v>
      </c>
      <c r="E146" t="s">
        <v>362</v>
      </c>
      <c r="F146">
        <v>14462</v>
      </c>
    </row>
    <row r="147" spans="1:6" x14ac:dyDescent="0.35">
      <c r="A147" t="s">
        <v>282</v>
      </c>
      <c r="B147" t="s">
        <v>270</v>
      </c>
      <c r="C147">
        <v>41.833300000000001</v>
      </c>
      <c r="D147">
        <v>-70.833299999999994</v>
      </c>
      <c r="E147" t="s">
        <v>362</v>
      </c>
      <c r="F147">
        <v>12262</v>
      </c>
    </row>
    <row r="148" spans="1:6" x14ac:dyDescent="0.35">
      <c r="A148" t="s">
        <v>324</v>
      </c>
      <c r="B148" t="s">
        <v>302</v>
      </c>
      <c r="C148">
        <v>42.45</v>
      </c>
      <c r="D148">
        <v>-71.666700000000006</v>
      </c>
      <c r="E148" t="s">
        <v>363</v>
      </c>
      <c r="F148">
        <v>8993</v>
      </c>
    </row>
    <row r="149" spans="1:6" x14ac:dyDescent="0.35">
      <c r="A149" t="s">
        <v>31</v>
      </c>
      <c r="B149" t="s">
        <v>20</v>
      </c>
      <c r="C149">
        <v>42.566699999999997</v>
      </c>
      <c r="D149">
        <v>-73.2333</v>
      </c>
      <c r="E149" t="s">
        <v>364</v>
      </c>
      <c r="F149">
        <v>3004</v>
      </c>
    </row>
    <row r="150" spans="1:6" x14ac:dyDescent="0.35">
      <c r="A150" t="s">
        <v>93</v>
      </c>
      <c r="B150" t="s">
        <v>82</v>
      </c>
      <c r="C150">
        <v>42.708100000000002</v>
      </c>
      <c r="D150">
        <v>-71.168700000000001</v>
      </c>
      <c r="E150" t="s">
        <v>362</v>
      </c>
      <c r="F150">
        <v>89332</v>
      </c>
    </row>
    <row r="151" spans="1:6" x14ac:dyDescent="0.35">
      <c r="A151" t="s">
        <v>32</v>
      </c>
      <c r="B151" t="s">
        <v>20</v>
      </c>
      <c r="C151">
        <v>42.307600000000001</v>
      </c>
      <c r="D151">
        <v>-73.243099999999998</v>
      </c>
      <c r="E151" t="s">
        <v>364</v>
      </c>
      <c r="F151">
        <v>5682</v>
      </c>
    </row>
    <row r="152" spans="1:6" x14ac:dyDescent="0.35">
      <c r="A152" t="s">
        <v>325</v>
      </c>
      <c r="B152" t="s">
        <v>302</v>
      </c>
      <c r="C152">
        <v>42.2667</v>
      </c>
      <c r="D152">
        <v>-71.849999999999994</v>
      </c>
      <c r="E152" t="s">
        <v>363</v>
      </c>
      <c r="F152">
        <v>11224</v>
      </c>
    </row>
    <row r="153" spans="1:6" x14ac:dyDescent="0.35">
      <c r="A153" t="s">
        <v>33</v>
      </c>
      <c r="B153" t="s">
        <v>20</v>
      </c>
      <c r="C153">
        <v>42.354799999999997</v>
      </c>
      <c r="D153">
        <v>-73.286699999999996</v>
      </c>
      <c r="E153" t="s">
        <v>364</v>
      </c>
      <c r="F153">
        <v>5072</v>
      </c>
    </row>
    <row r="154" spans="1:6" x14ac:dyDescent="0.35">
      <c r="A154" t="s">
        <v>326</v>
      </c>
      <c r="B154" t="s">
        <v>302</v>
      </c>
      <c r="C154">
        <v>42.533299999999997</v>
      </c>
      <c r="D154">
        <v>-71.7667</v>
      </c>
      <c r="E154" t="s">
        <v>363</v>
      </c>
      <c r="F154">
        <v>44209</v>
      </c>
    </row>
    <row r="155" spans="1:6" x14ac:dyDescent="0.35">
      <c r="A155" t="s">
        <v>128</v>
      </c>
      <c r="B155" t="s">
        <v>116</v>
      </c>
      <c r="C155">
        <v>42.45</v>
      </c>
      <c r="D155">
        <v>-72.683300000000003</v>
      </c>
      <c r="E155" t="s">
        <v>364</v>
      </c>
      <c r="F155">
        <v>1863</v>
      </c>
    </row>
    <row r="156" spans="1:6" x14ac:dyDescent="0.35">
      <c r="A156" t="s">
        <v>209</v>
      </c>
      <c r="B156" t="s">
        <v>187</v>
      </c>
      <c r="C156">
        <v>42.4467</v>
      </c>
      <c r="D156">
        <v>-71.226900000000001</v>
      </c>
      <c r="E156" t="s">
        <v>362</v>
      </c>
      <c r="F156">
        <v>34743</v>
      </c>
    </row>
    <row r="157" spans="1:6" x14ac:dyDescent="0.35">
      <c r="A157" t="s">
        <v>129</v>
      </c>
      <c r="B157" t="s">
        <v>116</v>
      </c>
      <c r="C157">
        <v>42.7</v>
      </c>
      <c r="D157">
        <v>-72.633300000000006</v>
      </c>
      <c r="E157" t="s">
        <v>364</v>
      </c>
      <c r="F157">
        <v>735</v>
      </c>
    </row>
    <row r="158" spans="1:6" x14ac:dyDescent="0.35">
      <c r="A158" t="s">
        <v>210</v>
      </c>
      <c r="B158" t="s">
        <v>187</v>
      </c>
      <c r="C158">
        <v>42.416699999999999</v>
      </c>
      <c r="D158">
        <v>-71.316699999999997</v>
      </c>
      <c r="E158" t="s">
        <v>362</v>
      </c>
      <c r="F158">
        <v>6996</v>
      </c>
    </row>
    <row r="159" spans="1:6" x14ac:dyDescent="0.35">
      <c r="A159" t="s">
        <v>211</v>
      </c>
      <c r="B159" t="s">
        <v>187</v>
      </c>
      <c r="C159">
        <v>42.45</v>
      </c>
      <c r="D159">
        <v>-71.466700000000003</v>
      </c>
      <c r="E159" t="s">
        <v>362</v>
      </c>
      <c r="F159">
        <v>10495</v>
      </c>
    </row>
    <row r="160" spans="1:6" x14ac:dyDescent="0.35">
      <c r="A160" t="s">
        <v>152</v>
      </c>
      <c r="B160" t="s">
        <v>143</v>
      </c>
      <c r="C160">
        <v>42.05</v>
      </c>
      <c r="D160">
        <v>-72.45</v>
      </c>
      <c r="E160" t="s">
        <v>364</v>
      </c>
      <c r="F160">
        <v>15712</v>
      </c>
    </row>
    <row r="161" spans="1:6" x14ac:dyDescent="0.35">
      <c r="A161" t="s">
        <v>212</v>
      </c>
      <c r="B161" t="s">
        <v>187</v>
      </c>
      <c r="C161">
        <v>42.633000000000003</v>
      </c>
      <c r="D161">
        <v>-71.316100000000006</v>
      </c>
      <c r="E161" t="s">
        <v>362</v>
      </c>
      <c r="F161">
        <v>120418</v>
      </c>
    </row>
    <row r="162" spans="1:6" x14ac:dyDescent="0.35">
      <c r="A162" t="s">
        <v>153</v>
      </c>
      <c r="B162" t="s">
        <v>143</v>
      </c>
      <c r="C162">
        <v>42.116700000000002</v>
      </c>
      <c r="D162">
        <v>-72.466700000000003</v>
      </c>
      <c r="E162" t="s">
        <v>364</v>
      </c>
      <c r="F162">
        <v>21118</v>
      </c>
    </row>
    <row r="163" spans="1:6" x14ac:dyDescent="0.35">
      <c r="A163" t="s">
        <v>327</v>
      </c>
      <c r="B163" t="s">
        <v>302</v>
      </c>
      <c r="C163">
        <v>42.583300000000001</v>
      </c>
      <c r="D163">
        <v>-71.633300000000006</v>
      </c>
      <c r="E163" t="s">
        <v>363</v>
      </c>
      <c r="F163">
        <v>12007</v>
      </c>
    </row>
    <row r="164" spans="1:6" x14ac:dyDescent="0.35">
      <c r="A164" t="s">
        <v>94</v>
      </c>
      <c r="B164" t="s">
        <v>82</v>
      </c>
      <c r="C164">
        <v>42.468899999999998</v>
      </c>
      <c r="D164">
        <v>-70.949600000000004</v>
      </c>
      <c r="E164" t="s">
        <v>362</v>
      </c>
      <c r="F164">
        <v>103489</v>
      </c>
    </row>
    <row r="165" spans="1:6" x14ac:dyDescent="0.35">
      <c r="A165" t="s">
        <v>95</v>
      </c>
      <c r="B165" t="s">
        <v>82</v>
      </c>
      <c r="C165">
        <v>42.533299999999997</v>
      </c>
      <c r="D165">
        <v>-71.0167</v>
      </c>
      <c r="E165" t="s">
        <v>362</v>
      </c>
      <c r="F165">
        <v>13230</v>
      </c>
    </row>
    <row r="166" spans="1:6" x14ac:dyDescent="0.35">
      <c r="A166" t="s">
        <v>213</v>
      </c>
      <c r="B166" t="s">
        <v>187</v>
      </c>
      <c r="C166">
        <v>42.425600000000003</v>
      </c>
      <c r="D166">
        <v>-71.072599999999994</v>
      </c>
      <c r="E166" t="s">
        <v>362</v>
      </c>
      <c r="F166">
        <v>66693</v>
      </c>
    </row>
    <row r="167" spans="1:6" x14ac:dyDescent="0.35">
      <c r="A167" t="s">
        <v>96</v>
      </c>
      <c r="B167" t="s">
        <v>82</v>
      </c>
      <c r="C167">
        <v>42.566699999999997</v>
      </c>
      <c r="D167">
        <v>-70.783299999999997</v>
      </c>
      <c r="E167" t="s">
        <v>362</v>
      </c>
      <c r="F167">
        <v>5467</v>
      </c>
    </row>
    <row r="168" spans="1:6" x14ac:dyDescent="0.35">
      <c r="A168" t="s">
        <v>62</v>
      </c>
      <c r="B168" t="s">
        <v>53</v>
      </c>
      <c r="C168">
        <v>42.019399999999997</v>
      </c>
      <c r="D168">
        <v>-71.201999999999998</v>
      </c>
      <c r="E168" t="s">
        <v>362</v>
      </c>
      <c r="F168">
        <v>24077</v>
      </c>
    </row>
    <row r="169" spans="1:6" x14ac:dyDescent="0.35">
      <c r="A169" t="s">
        <v>97</v>
      </c>
      <c r="B169" t="s">
        <v>82</v>
      </c>
      <c r="C169">
        <v>42.5</v>
      </c>
      <c r="D169">
        <v>-70.866699999999994</v>
      </c>
      <c r="E169" t="s">
        <v>362</v>
      </c>
      <c r="F169">
        <v>20576</v>
      </c>
    </row>
    <row r="170" spans="1:6" x14ac:dyDescent="0.35">
      <c r="A170" t="s">
        <v>283</v>
      </c>
      <c r="B170" t="s">
        <v>270</v>
      </c>
      <c r="C170">
        <v>41.7333</v>
      </c>
      <c r="D170">
        <v>-70.75</v>
      </c>
      <c r="E170" t="s">
        <v>362</v>
      </c>
      <c r="F170">
        <v>5341</v>
      </c>
    </row>
    <row r="171" spans="1:6" x14ac:dyDescent="0.35">
      <c r="A171" t="s">
        <v>214</v>
      </c>
      <c r="B171" t="s">
        <v>187</v>
      </c>
      <c r="C171">
        <v>42.333300000000001</v>
      </c>
      <c r="D171">
        <v>-71.55</v>
      </c>
      <c r="E171" t="s">
        <v>362</v>
      </c>
      <c r="F171">
        <v>42169</v>
      </c>
    </row>
    <row r="172" spans="1:6" x14ac:dyDescent="0.35">
      <c r="A172" t="s">
        <v>284</v>
      </c>
      <c r="B172" t="s">
        <v>270</v>
      </c>
      <c r="C172">
        <v>42.1</v>
      </c>
      <c r="D172">
        <v>-70.716700000000003</v>
      </c>
      <c r="E172" t="s">
        <v>362</v>
      </c>
      <c r="F172">
        <v>26043</v>
      </c>
    </row>
    <row r="173" spans="1:6" x14ac:dyDescent="0.35">
      <c r="A173" t="s">
        <v>12</v>
      </c>
      <c r="B173" t="s">
        <v>4</v>
      </c>
      <c r="C173">
        <v>41.666699999999999</v>
      </c>
      <c r="D173">
        <v>-70.4833</v>
      </c>
      <c r="E173" t="s">
        <v>362</v>
      </c>
      <c r="F173">
        <v>15482</v>
      </c>
    </row>
    <row r="174" spans="1:6" x14ac:dyDescent="0.35">
      <c r="A174" t="s">
        <v>285</v>
      </c>
      <c r="B174" t="s">
        <v>270</v>
      </c>
      <c r="C174">
        <v>41.666699999999999</v>
      </c>
      <c r="D174">
        <v>-70.816699999999997</v>
      </c>
      <c r="E174" t="s">
        <v>362</v>
      </c>
      <c r="F174">
        <v>6763</v>
      </c>
    </row>
    <row r="175" spans="1:6" x14ac:dyDescent="0.35">
      <c r="A175" t="s">
        <v>215</v>
      </c>
      <c r="B175" t="s">
        <v>187</v>
      </c>
      <c r="C175">
        <v>42.433300000000003</v>
      </c>
      <c r="D175">
        <v>-71.45</v>
      </c>
      <c r="E175" t="s">
        <v>362</v>
      </c>
      <c r="F175">
        <v>10820</v>
      </c>
    </row>
    <row r="176" spans="1:6" x14ac:dyDescent="0.35">
      <c r="A176" t="s">
        <v>253</v>
      </c>
      <c r="B176" t="s">
        <v>243</v>
      </c>
      <c r="C176">
        <v>42.166699999999999</v>
      </c>
      <c r="D176">
        <v>-71.366699999999994</v>
      </c>
      <c r="E176" t="s">
        <v>362</v>
      </c>
      <c r="F176">
        <v>13334</v>
      </c>
    </row>
    <row r="177" spans="1:6" x14ac:dyDescent="0.35">
      <c r="A177" t="s">
        <v>216</v>
      </c>
      <c r="B177" t="s">
        <v>187</v>
      </c>
      <c r="C177">
        <v>42.4056</v>
      </c>
      <c r="D177">
        <v>-71.103899999999996</v>
      </c>
      <c r="E177" t="s">
        <v>362</v>
      </c>
      <c r="F177">
        <v>59898</v>
      </c>
    </row>
    <row r="178" spans="1:6" x14ac:dyDescent="0.35">
      <c r="A178" t="s">
        <v>254</v>
      </c>
      <c r="B178" t="s">
        <v>243</v>
      </c>
      <c r="C178">
        <v>42.2333</v>
      </c>
      <c r="D178">
        <v>-71.383300000000006</v>
      </c>
      <c r="E178" t="s">
        <v>362</v>
      </c>
      <c r="F178">
        <v>13836</v>
      </c>
    </row>
    <row r="179" spans="1:6" x14ac:dyDescent="0.35">
      <c r="A179" t="s">
        <v>217</v>
      </c>
      <c r="B179" t="s">
        <v>187</v>
      </c>
      <c r="C179">
        <v>42.456800000000001</v>
      </c>
      <c r="D179">
        <v>-71.068700000000007</v>
      </c>
      <c r="E179" t="s">
        <v>362</v>
      </c>
      <c r="F179">
        <v>29938</v>
      </c>
    </row>
    <row r="180" spans="1:6" x14ac:dyDescent="0.35">
      <c r="A180" t="s">
        <v>328</v>
      </c>
      <c r="B180" t="s">
        <v>302</v>
      </c>
      <c r="C180">
        <v>42.1</v>
      </c>
      <c r="D180">
        <v>-71.55</v>
      </c>
      <c r="E180" t="s">
        <v>363</v>
      </c>
      <c r="F180">
        <v>6441</v>
      </c>
    </row>
    <row r="181" spans="1:6" x14ac:dyDescent="0.35">
      <c r="A181" t="s">
        <v>98</v>
      </c>
      <c r="B181" t="s">
        <v>82</v>
      </c>
      <c r="C181">
        <v>42.85</v>
      </c>
      <c r="D181">
        <v>-71.083299999999994</v>
      </c>
      <c r="E181" t="s">
        <v>362</v>
      </c>
      <c r="F181">
        <v>6810</v>
      </c>
    </row>
    <row r="182" spans="1:6" x14ac:dyDescent="0.35">
      <c r="A182" t="s">
        <v>99</v>
      </c>
      <c r="B182" t="s">
        <v>82</v>
      </c>
      <c r="C182">
        <v>42.716700000000003</v>
      </c>
      <c r="D182">
        <v>-71.2</v>
      </c>
      <c r="E182" t="s">
        <v>362</v>
      </c>
      <c r="F182">
        <v>53043</v>
      </c>
    </row>
    <row r="183" spans="1:6" x14ac:dyDescent="0.35">
      <c r="A183" t="s">
        <v>286</v>
      </c>
      <c r="B183" t="s">
        <v>270</v>
      </c>
      <c r="C183">
        <v>41.95</v>
      </c>
      <c r="D183">
        <v>-70.883300000000006</v>
      </c>
      <c r="E183" t="s">
        <v>362</v>
      </c>
      <c r="F183">
        <v>24847</v>
      </c>
    </row>
    <row r="184" spans="1:6" x14ac:dyDescent="0.35">
      <c r="A184" t="s">
        <v>176</v>
      </c>
      <c r="B184" t="s">
        <v>166</v>
      </c>
      <c r="C184">
        <v>42.45</v>
      </c>
      <c r="D184">
        <v>-73.033299999999997</v>
      </c>
      <c r="E184" t="s">
        <v>364</v>
      </c>
      <c r="F184">
        <v>397</v>
      </c>
    </row>
    <row r="185" spans="1:6" x14ac:dyDescent="0.35">
      <c r="A185" t="s">
        <v>100</v>
      </c>
      <c r="B185" t="s">
        <v>82</v>
      </c>
      <c r="C185">
        <v>42.616700000000002</v>
      </c>
      <c r="D185">
        <v>-71.05</v>
      </c>
      <c r="E185" t="s">
        <v>362</v>
      </c>
      <c r="F185">
        <v>9959</v>
      </c>
    </row>
    <row r="186" spans="1:6" x14ac:dyDescent="0.35">
      <c r="A186" t="s">
        <v>329</v>
      </c>
      <c r="B186" t="s">
        <v>302</v>
      </c>
      <c r="C186">
        <v>42.15</v>
      </c>
      <c r="D186">
        <v>-71.616699999999994</v>
      </c>
      <c r="E186" t="s">
        <v>363</v>
      </c>
      <c r="F186">
        <v>30640</v>
      </c>
    </row>
    <row r="187" spans="1:6" x14ac:dyDescent="0.35">
      <c r="A187" t="s">
        <v>330</v>
      </c>
      <c r="B187" t="s">
        <v>302</v>
      </c>
      <c r="C187">
        <v>42.183300000000003</v>
      </c>
      <c r="D187">
        <v>-71.75</v>
      </c>
      <c r="E187" t="s">
        <v>363</v>
      </c>
      <c r="F187">
        <v>14173</v>
      </c>
    </row>
    <row r="188" spans="1:6" x14ac:dyDescent="0.35">
      <c r="A188" t="s">
        <v>255</v>
      </c>
      <c r="B188" t="s">
        <v>243</v>
      </c>
      <c r="C188">
        <v>42.2</v>
      </c>
      <c r="D188">
        <v>-71.366699999999994</v>
      </c>
      <c r="E188" t="s">
        <v>362</v>
      </c>
      <c r="F188">
        <v>9338</v>
      </c>
    </row>
    <row r="189" spans="1:6" x14ac:dyDescent="0.35">
      <c r="A189" t="s">
        <v>331</v>
      </c>
      <c r="B189" t="s">
        <v>302</v>
      </c>
      <c r="C189">
        <v>42.05</v>
      </c>
      <c r="D189">
        <v>-71.633300000000006</v>
      </c>
      <c r="E189" t="s">
        <v>363</v>
      </c>
      <c r="F189">
        <v>3187</v>
      </c>
    </row>
    <row r="190" spans="1:6" x14ac:dyDescent="0.35">
      <c r="A190" t="s">
        <v>256</v>
      </c>
      <c r="B190" t="s">
        <v>243</v>
      </c>
      <c r="C190">
        <v>42.2667</v>
      </c>
      <c r="D190">
        <v>-71.066699999999997</v>
      </c>
      <c r="E190" t="s">
        <v>362</v>
      </c>
      <c r="F190">
        <v>28811</v>
      </c>
    </row>
    <row r="191" spans="1:6" x14ac:dyDescent="0.35">
      <c r="A191" t="s">
        <v>130</v>
      </c>
      <c r="B191" t="s">
        <v>116</v>
      </c>
      <c r="C191">
        <v>42.666699999999999</v>
      </c>
      <c r="D191">
        <v>-73.033299999999997</v>
      </c>
      <c r="E191" t="s">
        <v>364</v>
      </c>
      <c r="F191">
        <v>115</v>
      </c>
    </row>
    <row r="192" spans="1:6" x14ac:dyDescent="0.35">
      <c r="A192" t="s">
        <v>154</v>
      </c>
      <c r="B192" t="s">
        <v>143</v>
      </c>
      <c r="C192">
        <v>42.083300000000001</v>
      </c>
      <c r="D192">
        <v>-72.316699999999997</v>
      </c>
      <c r="E192" t="s">
        <v>364</v>
      </c>
      <c r="F192">
        <v>8164</v>
      </c>
    </row>
    <row r="193" spans="1:6" x14ac:dyDescent="0.35">
      <c r="A193" t="s">
        <v>131</v>
      </c>
      <c r="B193" t="s">
        <v>116</v>
      </c>
      <c r="C193">
        <v>42.55</v>
      </c>
      <c r="D193">
        <v>-72.566699999999997</v>
      </c>
      <c r="E193" t="s">
        <v>364</v>
      </c>
      <c r="F193">
        <v>8437</v>
      </c>
    </row>
    <row r="194" spans="1:6" x14ac:dyDescent="0.35">
      <c r="A194" t="s">
        <v>34</v>
      </c>
      <c r="B194" t="s">
        <v>20</v>
      </c>
      <c r="C194">
        <v>42.3</v>
      </c>
      <c r="D194">
        <v>-73.349999999999994</v>
      </c>
      <c r="E194" t="s">
        <v>364</v>
      </c>
      <c r="F194">
        <v>1085</v>
      </c>
    </row>
    <row r="195" spans="1:6" x14ac:dyDescent="0.35">
      <c r="A195" t="s">
        <v>155</v>
      </c>
      <c r="B195" t="s">
        <v>143</v>
      </c>
      <c r="C195">
        <v>42.133299999999998</v>
      </c>
      <c r="D195">
        <v>-72.833299999999994</v>
      </c>
      <c r="E195" t="s">
        <v>364</v>
      </c>
      <c r="F195">
        <v>837</v>
      </c>
    </row>
    <row r="196" spans="1:6" x14ac:dyDescent="0.35">
      <c r="A196" t="s">
        <v>35</v>
      </c>
      <c r="B196" t="s">
        <v>20</v>
      </c>
      <c r="C196">
        <v>42.15</v>
      </c>
      <c r="D196">
        <v>-73.45</v>
      </c>
      <c r="E196" t="s">
        <v>364</v>
      </c>
      <c r="F196">
        <v>157</v>
      </c>
    </row>
    <row r="197" spans="1:6" x14ac:dyDescent="0.35">
      <c r="A197" t="s">
        <v>101</v>
      </c>
      <c r="B197" t="s">
        <v>82</v>
      </c>
      <c r="C197">
        <v>42.433300000000003</v>
      </c>
      <c r="D197">
        <v>-70.916700000000006</v>
      </c>
      <c r="E197" t="s">
        <v>362</v>
      </c>
      <c r="F197">
        <v>3338</v>
      </c>
    </row>
    <row r="198" spans="1:6" x14ac:dyDescent="0.35">
      <c r="A198" t="s">
        <v>241</v>
      </c>
      <c r="B198" t="s">
        <v>241</v>
      </c>
      <c r="C198">
        <v>41.283499999999997</v>
      </c>
      <c r="D198">
        <v>-70.099500000000006</v>
      </c>
      <c r="E198" t="s">
        <v>362</v>
      </c>
      <c r="F198">
        <v>14670</v>
      </c>
    </row>
    <row r="199" spans="1:6" x14ac:dyDescent="0.35">
      <c r="A199" t="s">
        <v>218</v>
      </c>
      <c r="B199" t="s">
        <v>187</v>
      </c>
      <c r="C199">
        <v>42.283299999999997</v>
      </c>
      <c r="D199">
        <v>-71.349999999999994</v>
      </c>
      <c r="E199" t="s">
        <v>362</v>
      </c>
      <c r="F199">
        <v>37316</v>
      </c>
    </row>
    <row r="200" spans="1:6" x14ac:dyDescent="0.35">
      <c r="A200" t="s">
        <v>257</v>
      </c>
      <c r="B200" t="s">
        <v>243</v>
      </c>
      <c r="C200">
        <v>42.283299999999997</v>
      </c>
      <c r="D200">
        <v>-71.2333</v>
      </c>
      <c r="E200" t="s">
        <v>362</v>
      </c>
      <c r="F200">
        <v>32931</v>
      </c>
    </row>
    <row r="201" spans="1:6" x14ac:dyDescent="0.35">
      <c r="A201" t="s">
        <v>36</v>
      </c>
      <c r="B201" t="s">
        <v>20</v>
      </c>
      <c r="C201">
        <v>42.666699999999999</v>
      </c>
      <c r="D201">
        <v>-73.283299999999997</v>
      </c>
      <c r="E201" t="s">
        <v>364</v>
      </c>
      <c r="F201">
        <v>249</v>
      </c>
    </row>
    <row r="202" spans="1:6" x14ac:dyDescent="0.35">
      <c r="A202" t="s">
        <v>63</v>
      </c>
      <c r="B202" t="s">
        <v>53</v>
      </c>
      <c r="C202">
        <v>41.636200000000002</v>
      </c>
      <c r="D202">
        <v>-71.199299999999994</v>
      </c>
      <c r="E202" t="s">
        <v>362</v>
      </c>
      <c r="F202">
        <v>101318</v>
      </c>
    </row>
    <row r="203" spans="1:6" x14ac:dyDescent="0.35">
      <c r="A203" t="s">
        <v>332</v>
      </c>
      <c r="B203" t="s">
        <v>302</v>
      </c>
      <c r="C203">
        <v>42.35</v>
      </c>
      <c r="D203">
        <v>-72.066699999999997</v>
      </c>
      <c r="E203" t="s">
        <v>363</v>
      </c>
      <c r="F203">
        <v>1010</v>
      </c>
    </row>
    <row r="204" spans="1:6" x14ac:dyDescent="0.35">
      <c r="A204" t="s">
        <v>37</v>
      </c>
      <c r="B204" t="s">
        <v>20</v>
      </c>
      <c r="C204">
        <v>42.2333</v>
      </c>
      <c r="D204">
        <v>-73.466700000000003</v>
      </c>
      <c r="E204" t="s">
        <v>364</v>
      </c>
      <c r="F204">
        <v>1503</v>
      </c>
    </row>
    <row r="205" spans="1:6" x14ac:dyDescent="0.35">
      <c r="A205" t="s">
        <v>132</v>
      </c>
      <c r="B205" t="s">
        <v>116</v>
      </c>
      <c r="C205">
        <v>42.433300000000003</v>
      </c>
      <c r="D205">
        <v>-72.2667</v>
      </c>
      <c r="E205" t="s">
        <v>364</v>
      </c>
      <c r="F205">
        <v>1023</v>
      </c>
    </row>
    <row r="206" spans="1:6" x14ac:dyDescent="0.35">
      <c r="A206" t="s">
        <v>102</v>
      </c>
      <c r="B206" t="s">
        <v>82</v>
      </c>
      <c r="C206">
        <v>42.816699999999997</v>
      </c>
      <c r="D206">
        <v>-70.900000000000006</v>
      </c>
      <c r="E206" t="s">
        <v>362</v>
      </c>
      <c r="F206">
        <v>6880</v>
      </c>
    </row>
    <row r="207" spans="1:6" x14ac:dyDescent="0.35">
      <c r="A207" t="s">
        <v>103</v>
      </c>
      <c r="B207" t="s">
        <v>82</v>
      </c>
      <c r="C207">
        <v>42.812600000000003</v>
      </c>
      <c r="D207">
        <v>-70.878500000000003</v>
      </c>
      <c r="E207" t="s">
        <v>362</v>
      </c>
      <c r="F207">
        <v>19163</v>
      </c>
    </row>
    <row r="208" spans="1:6" x14ac:dyDescent="0.35">
      <c r="A208" t="s">
        <v>219</v>
      </c>
      <c r="B208" t="s">
        <v>187</v>
      </c>
      <c r="C208">
        <v>42.337000000000003</v>
      </c>
      <c r="D208">
        <v>-71.209299999999999</v>
      </c>
      <c r="E208" t="s">
        <v>362</v>
      </c>
      <c r="F208">
        <v>90700</v>
      </c>
    </row>
    <row r="209" spans="1:6" x14ac:dyDescent="0.35">
      <c r="A209" t="s">
        <v>243</v>
      </c>
      <c r="B209" t="s">
        <v>243</v>
      </c>
      <c r="C209">
        <v>42.166699999999999</v>
      </c>
      <c r="D209">
        <v>-71.3</v>
      </c>
      <c r="E209" t="s">
        <v>362</v>
      </c>
      <c r="F209">
        <v>11962</v>
      </c>
    </row>
    <row r="210" spans="1:6" x14ac:dyDescent="0.35">
      <c r="A210" t="s">
        <v>38</v>
      </c>
      <c r="B210" t="s">
        <v>20</v>
      </c>
      <c r="C210">
        <v>42.684800000000003</v>
      </c>
      <c r="D210">
        <v>-73.115499999999997</v>
      </c>
      <c r="E210" t="s">
        <v>364</v>
      </c>
      <c r="F210">
        <v>12492</v>
      </c>
    </row>
    <row r="211" spans="1:6" x14ac:dyDescent="0.35">
      <c r="A211" t="s">
        <v>104</v>
      </c>
      <c r="B211" t="s">
        <v>82</v>
      </c>
      <c r="C211">
        <v>42.708300000000001</v>
      </c>
      <c r="D211">
        <v>-71.133300000000006</v>
      </c>
      <c r="E211" t="s">
        <v>362</v>
      </c>
      <c r="F211">
        <v>32135</v>
      </c>
    </row>
    <row r="212" spans="1:6" x14ac:dyDescent="0.35">
      <c r="A212" t="s">
        <v>64</v>
      </c>
      <c r="B212" t="s">
        <v>53</v>
      </c>
      <c r="C212">
        <v>42.008800000000001</v>
      </c>
      <c r="D212">
        <v>-71.328800000000001</v>
      </c>
      <c r="E212" t="s">
        <v>362</v>
      </c>
      <c r="F212">
        <v>31210</v>
      </c>
    </row>
    <row r="213" spans="1:6" x14ac:dyDescent="0.35">
      <c r="A213" t="s">
        <v>333</v>
      </c>
      <c r="B213" t="s">
        <v>302</v>
      </c>
      <c r="C213">
        <v>42.2</v>
      </c>
      <c r="D213">
        <v>-72.116699999999994</v>
      </c>
      <c r="E213" t="s">
        <v>363</v>
      </c>
      <c r="F213">
        <v>4797</v>
      </c>
    </row>
    <row r="214" spans="1:6" x14ac:dyDescent="0.35">
      <c r="A214" t="s">
        <v>220</v>
      </c>
      <c r="B214" t="s">
        <v>187</v>
      </c>
      <c r="C214">
        <v>42.566699999999997</v>
      </c>
      <c r="D214">
        <v>-71.099999999999994</v>
      </c>
      <c r="E214" t="s">
        <v>362</v>
      </c>
      <c r="F214">
        <v>16379</v>
      </c>
    </row>
    <row r="215" spans="1:6" x14ac:dyDescent="0.35">
      <c r="A215" t="s">
        <v>177</v>
      </c>
      <c r="B215" t="s">
        <v>166</v>
      </c>
      <c r="C215">
        <v>42.326500000000003</v>
      </c>
      <c r="D215">
        <v>-72.654600000000002</v>
      </c>
      <c r="E215" t="s">
        <v>364</v>
      </c>
      <c r="F215">
        <v>31315</v>
      </c>
    </row>
    <row r="216" spans="1:6" x14ac:dyDescent="0.35">
      <c r="A216" t="s">
        <v>334</v>
      </c>
      <c r="B216" t="s">
        <v>302</v>
      </c>
      <c r="C216">
        <v>42.3</v>
      </c>
      <c r="D216">
        <v>-71.666700000000006</v>
      </c>
      <c r="E216" t="s">
        <v>363</v>
      </c>
      <c r="F216">
        <v>15867</v>
      </c>
    </row>
    <row r="217" spans="1:6" x14ac:dyDescent="0.35">
      <c r="A217" t="s">
        <v>335</v>
      </c>
      <c r="B217" t="s">
        <v>302</v>
      </c>
      <c r="C217">
        <v>42.183300000000003</v>
      </c>
      <c r="D217">
        <v>-71.666700000000006</v>
      </c>
      <c r="E217" t="s">
        <v>363</v>
      </c>
      <c r="F217">
        <v>16719</v>
      </c>
    </row>
    <row r="218" spans="1:6" x14ac:dyDescent="0.35">
      <c r="A218" t="s">
        <v>133</v>
      </c>
      <c r="B218" t="s">
        <v>116</v>
      </c>
      <c r="C218">
        <v>42.683300000000003</v>
      </c>
      <c r="D218">
        <v>-72.433300000000003</v>
      </c>
      <c r="E218" t="s">
        <v>364</v>
      </c>
      <c r="F218">
        <v>2880</v>
      </c>
    </row>
    <row r="219" spans="1:6" x14ac:dyDescent="0.35">
      <c r="A219" t="s">
        <v>65</v>
      </c>
      <c r="B219" t="s">
        <v>53</v>
      </c>
      <c r="C219">
        <v>42.027200000000001</v>
      </c>
      <c r="D219">
        <v>-71.195499999999996</v>
      </c>
      <c r="E219" t="s">
        <v>362</v>
      </c>
      <c r="F219">
        <v>19392</v>
      </c>
    </row>
    <row r="220" spans="1:6" x14ac:dyDescent="0.35">
      <c r="A220" t="s">
        <v>287</v>
      </c>
      <c r="B220" t="s">
        <v>270</v>
      </c>
      <c r="C220">
        <v>42.15</v>
      </c>
      <c r="D220">
        <v>-70.833299999999994</v>
      </c>
      <c r="E220" t="s">
        <v>362</v>
      </c>
      <c r="F220">
        <v>11477</v>
      </c>
    </row>
    <row r="221" spans="1:6" x14ac:dyDescent="0.35">
      <c r="A221" t="s">
        <v>258</v>
      </c>
      <c r="B221" t="s">
        <v>243</v>
      </c>
      <c r="C221">
        <v>42.194600000000001</v>
      </c>
      <c r="D221">
        <v>-71.195400000000006</v>
      </c>
      <c r="E221" t="s">
        <v>362</v>
      </c>
      <c r="F221">
        <v>31764</v>
      </c>
    </row>
    <row r="222" spans="1:6" x14ac:dyDescent="0.35">
      <c r="A222" t="s">
        <v>78</v>
      </c>
      <c r="B222" t="s">
        <v>74</v>
      </c>
      <c r="C222">
        <v>41.45</v>
      </c>
      <c r="D222">
        <v>-70.55</v>
      </c>
      <c r="E222" t="s">
        <v>362</v>
      </c>
      <c r="F222">
        <v>5407</v>
      </c>
    </row>
    <row r="223" spans="1:6" x14ac:dyDescent="0.35">
      <c r="A223" t="s">
        <v>336</v>
      </c>
      <c r="B223" t="s">
        <v>302</v>
      </c>
      <c r="C223">
        <v>42.4</v>
      </c>
      <c r="D223">
        <v>-71.966700000000003</v>
      </c>
      <c r="E223" t="s">
        <v>363</v>
      </c>
      <c r="F223">
        <v>1914</v>
      </c>
    </row>
    <row r="224" spans="1:6" x14ac:dyDescent="0.35">
      <c r="A224" t="s">
        <v>134</v>
      </c>
      <c r="B224" t="s">
        <v>116</v>
      </c>
      <c r="C224">
        <v>42.45</v>
      </c>
      <c r="D224">
        <v>-72.316699999999997</v>
      </c>
      <c r="E224" t="s">
        <v>364</v>
      </c>
      <c r="F224">
        <v>7583</v>
      </c>
    </row>
    <row r="225" spans="1:6" x14ac:dyDescent="0.35">
      <c r="A225" t="s">
        <v>13</v>
      </c>
      <c r="B225" t="s">
        <v>4</v>
      </c>
      <c r="C225">
        <v>41.786799999999999</v>
      </c>
      <c r="D225">
        <v>-70.001300000000001</v>
      </c>
      <c r="E225" t="s">
        <v>362</v>
      </c>
      <c r="F225">
        <v>6485</v>
      </c>
    </row>
    <row r="226" spans="1:6" x14ac:dyDescent="0.35">
      <c r="A226" t="s">
        <v>39</v>
      </c>
      <c r="B226" t="s">
        <v>20</v>
      </c>
      <c r="C226">
        <v>42.2333</v>
      </c>
      <c r="D226">
        <v>-73.216700000000003</v>
      </c>
      <c r="E226" t="s">
        <v>364</v>
      </c>
      <c r="F226">
        <v>1619</v>
      </c>
    </row>
    <row r="227" spans="1:6" x14ac:dyDescent="0.35">
      <c r="A227" t="s">
        <v>337</v>
      </c>
      <c r="B227" t="s">
        <v>302</v>
      </c>
      <c r="C227">
        <v>42.133299999999998</v>
      </c>
      <c r="D227">
        <v>-71.866699999999994</v>
      </c>
      <c r="E227" t="s">
        <v>363</v>
      </c>
      <c r="F227">
        <v>13503</v>
      </c>
    </row>
    <row r="228" spans="1:6" x14ac:dyDescent="0.35">
      <c r="A228" t="s">
        <v>156</v>
      </c>
      <c r="B228" t="s">
        <v>143</v>
      </c>
      <c r="C228">
        <v>42.166699999999999</v>
      </c>
      <c r="D228">
        <v>-72.333299999999994</v>
      </c>
      <c r="E228" t="s">
        <v>364</v>
      </c>
      <c r="F228">
        <v>12388</v>
      </c>
    </row>
    <row r="229" spans="1:6" x14ac:dyDescent="0.35">
      <c r="A229" t="s">
        <v>338</v>
      </c>
      <c r="B229" t="s">
        <v>302</v>
      </c>
      <c r="C229">
        <v>42.333300000000001</v>
      </c>
      <c r="D229">
        <v>-71.849999999999994</v>
      </c>
      <c r="E229" t="s">
        <v>363</v>
      </c>
      <c r="F229">
        <v>5043</v>
      </c>
    </row>
    <row r="230" spans="1:6" x14ac:dyDescent="0.35">
      <c r="A230" t="s">
        <v>105</v>
      </c>
      <c r="B230" t="s">
        <v>82</v>
      </c>
      <c r="C230">
        <v>42.533299999999997</v>
      </c>
      <c r="D230">
        <v>-70.933300000000003</v>
      </c>
      <c r="E230" t="s">
        <v>362</v>
      </c>
      <c r="F230">
        <v>55418</v>
      </c>
    </row>
    <row r="231" spans="1:6" x14ac:dyDescent="0.35">
      <c r="A231" t="s">
        <v>178</v>
      </c>
      <c r="B231" t="s">
        <v>166</v>
      </c>
      <c r="C231">
        <v>42.416699999999999</v>
      </c>
      <c r="D231">
        <v>-72.433300000000003</v>
      </c>
      <c r="E231" t="s">
        <v>364</v>
      </c>
      <c r="F231">
        <v>1343</v>
      </c>
    </row>
    <row r="232" spans="1:6" x14ac:dyDescent="0.35">
      <c r="A232" t="s">
        <v>288</v>
      </c>
      <c r="B232" t="s">
        <v>270</v>
      </c>
      <c r="C232">
        <v>42.033299999999997</v>
      </c>
      <c r="D232">
        <v>-70.7667</v>
      </c>
      <c r="E232" t="s">
        <v>362</v>
      </c>
      <c r="F232">
        <v>18428</v>
      </c>
    </row>
    <row r="233" spans="1:6" x14ac:dyDescent="0.35">
      <c r="A233" t="s">
        <v>221</v>
      </c>
      <c r="B233" t="s">
        <v>187</v>
      </c>
      <c r="C233">
        <v>42.65</v>
      </c>
      <c r="D233">
        <v>-71.599999999999994</v>
      </c>
      <c r="E233" t="s">
        <v>362</v>
      </c>
      <c r="F233">
        <v>11877</v>
      </c>
    </row>
    <row r="234" spans="1:6" x14ac:dyDescent="0.35">
      <c r="A234" t="s">
        <v>40</v>
      </c>
      <c r="B234" t="s">
        <v>20</v>
      </c>
      <c r="C234">
        <v>42.4</v>
      </c>
      <c r="D234">
        <v>-73.183300000000003</v>
      </c>
      <c r="E234" t="s">
        <v>364</v>
      </c>
      <c r="F234">
        <v>798</v>
      </c>
    </row>
    <row r="235" spans="1:6" x14ac:dyDescent="0.35">
      <c r="A235" t="s">
        <v>339</v>
      </c>
      <c r="B235" t="s">
        <v>302</v>
      </c>
      <c r="C235">
        <v>42.45</v>
      </c>
      <c r="D235">
        <v>-72.216700000000003</v>
      </c>
      <c r="E235" t="s">
        <v>363</v>
      </c>
      <c r="F235">
        <v>1246</v>
      </c>
    </row>
    <row r="236" spans="1:6" x14ac:dyDescent="0.35">
      <c r="A236" t="s">
        <v>340</v>
      </c>
      <c r="B236" t="s">
        <v>302</v>
      </c>
      <c r="C236">
        <v>42.7</v>
      </c>
      <c r="D236">
        <v>-72.2</v>
      </c>
      <c r="E236" t="s">
        <v>363</v>
      </c>
      <c r="F236">
        <v>1759</v>
      </c>
    </row>
    <row r="237" spans="1:6" x14ac:dyDescent="0.35">
      <c r="A237" t="s">
        <v>41</v>
      </c>
      <c r="B237" t="s">
        <v>20</v>
      </c>
      <c r="C237">
        <v>42.450800000000001</v>
      </c>
      <c r="D237">
        <v>-73.252600000000001</v>
      </c>
      <c r="E237" t="s">
        <v>364</v>
      </c>
      <c r="F237">
        <v>43121</v>
      </c>
    </row>
    <row r="238" spans="1:6" x14ac:dyDescent="0.35">
      <c r="A238" t="s">
        <v>179</v>
      </c>
      <c r="B238" t="s">
        <v>166</v>
      </c>
      <c r="C238">
        <v>42.466700000000003</v>
      </c>
      <c r="D238">
        <v>-72.833299999999994</v>
      </c>
      <c r="E238" t="s">
        <v>364</v>
      </c>
      <c r="F238">
        <v>649</v>
      </c>
    </row>
    <row r="239" spans="1:6" x14ac:dyDescent="0.35">
      <c r="A239" t="s">
        <v>259</v>
      </c>
      <c r="B239" t="s">
        <v>243</v>
      </c>
      <c r="C239">
        <v>42</v>
      </c>
      <c r="D239">
        <v>-71.45</v>
      </c>
      <c r="E239" t="s">
        <v>362</v>
      </c>
      <c r="F239">
        <v>10067</v>
      </c>
    </row>
    <row r="240" spans="1:6" x14ac:dyDescent="0.35">
      <c r="A240" t="s">
        <v>270</v>
      </c>
      <c r="B240" t="s">
        <v>270</v>
      </c>
      <c r="C240">
        <v>41.958300000000001</v>
      </c>
      <c r="D240">
        <v>-70.6631</v>
      </c>
      <c r="E240" t="s">
        <v>362</v>
      </c>
      <c r="F240">
        <v>66663</v>
      </c>
    </row>
    <row r="241" spans="1:6" x14ac:dyDescent="0.35">
      <c r="A241" t="s">
        <v>289</v>
      </c>
      <c r="B241" t="s">
        <v>270</v>
      </c>
      <c r="C241">
        <v>41.95</v>
      </c>
      <c r="D241">
        <v>-70.7333</v>
      </c>
      <c r="E241" t="s">
        <v>362</v>
      </c>
      <c r="F241">
        <v>2964</v>
      </c>
    </row>
    <row r="242" spans="1:6" x14ac:dyDescent="0.35">
      <c r="A242" t="s">
        <v>341</v>
      </c>
      <c r="B242" t="s">
        <v>302</v>
      </c>
      <c r="C242">
        <v>42.416699999999999</v>
      </c>
      <c r="D242">
        <v>-71.916700000000006</v>
      </c>
      <c r="E242" t="s">
        <v>363</v>
      </c>
      <c r="F242">
        <v>3597</v>
      </c>
    </row>
    <row r="243" spans="1:6" x14ac:dyDescent="0.35">
      <c r="A243" t="s">
        <v>14</v>
      </c>
      <c r="B243" t="s">
        <v>4</v>
      </c>
      <c r="C243">
        <v>42.050400000000003</v>
      </c>
      <c r="D243">
        <v>-70.189499999999995</v>
      </c>
      <c r="E243" t="s">
        <v>362</v>
      </c>
      <c r="F243">
        <v>3729</v>
      </c>
    </row>
    <row r="244" spans="1:6" x14ac:dyDescent="0.35">
      <c r="A244" t="s">
        <v>260</v>
      </c>
      <c r="B244" t="s">
        <v>243</v>
      </c>
      <c r="C244">
        <v>42.252699999999997</v>
      </c>
      <c r="D244">
        <v>-71.009600000000006</v>
      </c>
      <c r="E244" t="s">
        <v>362</v>
      </c>
      <c r="F244">
        <v>103434</v>
      </c>
    </row>
    <row r="245" spans="1:6" x14ac:dyDescent="0.35">
      <c r="A245" t="s">
        <v>261</v>
      </c>
      <c r="B245" t="s">
        <v>243</v>
      </c>
      <c r="C245">
        <v>42.166699999999999</v>
      </c>
      <c r="D245">
        <v>-71.066699999999997</v>
      </c>
      <c r="E245" t="s">
        <v>362</v>
      </c>
      <c r="F245">
        <v>35114</v>
      </c>
    </row>
    <row r="246" spans="1:6" x14ac:dyDescent="0.35">
      <c r="A246" t="s">
        <v>66</v>
      </c>
      <c r="B246" t="s">
        <v>53</v>
      </c>
      <c r="C246">
        <v>42.083300000000001</v>
      </c>
      <c r="D246">
        <v>-71.083299999999994</v>
      </c>
      <c r="E246" t="s">
        <v>362</v>
      </c>
      <c r="F246">
        <v>15861</v>
      </c>
    </row>
    <row r="247" spans="1:6" x14ac:dyDescent="0.35">
      <c r="A247" t="s">
        <v>222</v>
      </c>
      <c r="B247" t="s">
        <v>187</v>
      </c>
      <c r="C247">
        <v>42.533299999999997</v>
      </c>
      <c r="D247">
        <v>-71.083299999999994</v>
      </c>
      <c r="E247" t="s">
        <v>362</v>
      </c>
      <c r="F247">
        <v>26041</v>
      </c>
    </row>
    <row r="248" spans="1:6" x14ac:dyDescent="0.35">
      <c r="A248" t="s">
        <v>67</v>
      </c>
      <c r="B248" t="s">
        <v>53</v>
      </c>
      <c r="C248">
        <v>41.9833</v>
      </c>
      <c r="D248">
        <v>-71.2333</v>
      </c>
      <c r="E248" t="s">
        <v>362</v>
      </c>
      <c r="F248">
        <v>13537</v>
      </c>
    </row>
    <row r="249" spans="1:6" x14ac:dyDescent="0.35">
      <c r="A249" t="s">
        <v>299</v>
      </c>
      <c r="B249" t="s">
        <v>297</v>
      </c>
      <c r="C249">
        <v>42.4084</v>
      </c>
      <c r="D249">
        <v>-71.009600000000006</v>
      </c>
      <c r="E249" t="s">
        <v>362</v>
      </c>
      <c r="F249">
        <v>60702</v>
      </c>
    </row>
    <row r="250" spans="1:6" x14ac:dyDescent="0.35">
      <c r="A250" t="s">
        <v>42</v>
      </c>
      <c r="B250" t="s">
        <v>20</v>
      </c>
      <c r="C250">
        <v>42.4</v>
      </c>
      <c r="D250">
        <v>-73.383300000000006</v>
      </c>
      <c r="E250" t="s">
        <v>364</v>
      </c>
      <c r="F250">
        <v>1405</v>
      </c>
    </row>
    <row r="251" spans="1:6" x14ac:dyDescent="0.35">
      <c r="A251" t="s">
        <v>290</v>
      </c>
      <c r="B251" t="s">
        <v>270</v>
      </c>
      <c r="C251">
        <v>41.833300000000001</v>
      </c>
      <c r="D251">
        <v>-70.933300000000003</v>
      </c>
      <c r="E251" t="s">
        <v>362</v>
      </c>
      <c r="F251">
        <v>5936</v>
      </c>
    </row>
    <row r="252" spans="1:6" x14ac:dyDescent="0.35">
      <c r="A252" t="s">
        <v>291</v>
      </c>
      <c r="B252" t="s">
        <v>270</v>
      </c>
      <c r="C252">
        <v>42.133299999999998</v>
      </c>
      <c r="D252">
        <v>-71.066699999999997</v>
      </c>
      <c r="E252" t="s">
        <v>362</v>
      </c>
      <c r="F252">
        <v>17708</v>
      </c>
    </row>
    <row r="253" spans="1:6" x14ac:dyDescent="0.35">
      <c r="A253" t="s">
        <v>106</v>
      </c>
      <c r="B253" t="s">
        <v>82</v>
      </c>
      <c r="C253">
        <v>42.65</v>
      </c>
      <c r="D253">
        <v>-70.616699999999994</v>
      </c>
      <c r="E253" t="s">
        <v>362</v>
      </c>
      <c r="F253">
        <v>7091</v>
      </c>
    </row>
    <row r="254" spans="1:6" x14ac:dyDescent="0.35">
      <c r="A254" t="s">
        <v>135</v>
      </c>
      <c r="B254" t="s">
        <v>116</v>
      </c>
      <c r="C254">
        <v>42.7</v>
      </c>
      <c r="D254">
        <v>-73.05</v>
      </c>
      <c r="E254" t="s">
        <v>364</v>
      </c>
      <c r="F254">
        <v>419</v>
      </c>
    </row>
    <row r="255" spans="1:6" x14ac:dyDescent="0.35">
      <c r="A255" t="s">
        <v>107</v>
      </c>
      <c r="B255" t="s">
        <v>82</v>
      </c>
      <c r="C255">
        <v>42.7333</v>
      </c>
      <c r="D255">
        <v>-70.900000000000006</v>
      </c>
      <c r="E255" t="s">
        <v>362</v>
      </c>
      <c r="F255">
        <v>6334</v>
      </c>
    </row>
    <row r="256" spans="1:6" x14ac:dyDescent="0.35">
      <c r="A256" t="s">
        <v>342</v>
      </c>
      <c r="B256" t="s">
        <v>302</v>
      </c>
      <c r="C256">
        <v>42.7</v>
      </c>
      <c r="D256">
        <v>-72.283299999999997</v>
      </c>
      <c r="E256" t="s">
        <v>363</v>
      </c>
      <c r="F256">
        <v>1291</v>
      </c>
    </row>
    <row r="257" spans="1:6" x14ac:dyDescent="0.35">
      <c r="A257" t="s">
        <v>157</v>
      </c>
      <c r="B257" t="s">
        <v>143</v>
      </c>
      <c r="C257">
        <v>42.183300000000003</v>
      </c>
      <c r="D257">
        <v>-73.0167</v>
      </c>
      <c r="E257" t="s">
        <v>364</v>
      </c>
      <c r="F257">
        <v>1640</v>
      </c>
    </row>
    <row r="258" spans="1:6" x14ac:dyDescent="0.35">
      <c r="A258" t="s">
        <v>343</v>
      </c>
      <c r="B258" t="s">
        <v>302</v>
      </c>
      <c r="C258">
        <v>42.366700000000002</v>
      </c>
      <c r="D258">
        <v>-71.866699999999994</v>
      </c>
      <c r="E258" t="s">
        <v>363</v>
      </c>
      <c r="F258">
        <v>9637</v>
      </c>
    </row>
    <row r="259" spans="1:6" x14ac:dyDescent="0.35">
      <c r="A259" t="s">
        <v>108</v>
      </c>
      <c r="B259" t="s">
        <v>82</v>
      </c>
      <c r="C259">
        <v>42.519500000000001</v>
      </c>
      <c r="D259">
        <v>-70.896699999999996</v>
      </c>
      <c r="E259" t="s">
        <v>362</v>
      </c>
      <c r="F259">
        <v>45677</v>
      </c>
    </row>
    <row r="260" spans="1:6" x14ac:dyDescent="0.35">
      <c r="A260" t="s">
        <v>109</v>
      </c>
      <c r="B260" t="s">
        <v>82</v>
      </c>
      <c r="C260">
        <v>42.833300000000001</v>
      </c>
      <c r="D260">
        <v>-71.05</v>
      </c>
      <c r="E260" t="s">
        <v>362</v>
      </c>
      <c r="F260">
        <v>9415</v>
      </c>
    </row>
    <row r="261" spans="1:6" x14ac:dyDescent="0.35">
      <c r="A261" t="s">
        <v>43</v>
      </c>
      <c r="B261" t="s">
        <v>20</v>
      </c>
      <c r="C261">
        <v>42.183300000000003</v>
      </c>
      <c r="D261">
        <v>-73.2333</v>
      </c>
      <c r="E261" t="s">
        <v>364</v>
      </c>
      <c r="F261">
        <v>984</v>
      </c>
    </row>
    <row r="262" spans="1:6" x14ac:dyDescent="0.35">
      <c r="A262" t="s">
        <v>15</v>
      </c>
      <c r="B262" t="s">
        <v>4</v>
      </c>
      <c r="C262">
        <v>41.767400000000002</v>
      </c>
      <c r="D262">
        <v>-70.468699999999998</v>
      </c>
      <c r="E262" t="s">
        <v>362</v>
      </c>
      <c r="F262">
        <v>20507</v>
      </c>
    </row>
    <row r="263" spans="1:6" x14ac:dyDescent="0.35">
      <c r="A263" t="s">
        <v>110</v>
      </c>
      <c r="B263" t="s">
        <v>82</v>
      </c>
      <c r="C263">
        <v>42.466700000000003</v>
      </c>
      <c r="D263">
        <v>-71</v>
      </c>
      <c r="E263" t="s">
        <v>362</v>
      </c>
      <c r="F263">
        <v>29029</v>
      </c>
    </row>
    <row r="264" spans="1:6" x14ac:dyDescent="0.35">
      <c r="A264" t="s">
        <v>44</v>
      </c>
      <c r="B264" t="s">
        <v>20</v>
      </c>
      <c r="C264">
        <v>42.533299999999997</v>
      </c>
      <c r="D264">
        <v>-73.083299999999994</v>
      </c>
      <c r="E264" t="s">
        <v>364</v>
      </c>
      <c r="F264">
        <v>655</v>
      </c>
    </row>
    <row r="265" spans="1:6" x14ac:dyDescent="0.35">
      <c r="A265" t="s">
        <v>292</v>
      </c>
      <c r="B265" t="s">
        <v>270</v>
      </c>
      <c r="C265">
        <v>42.166699999999999</v>
      </c>
      <c r="D265">
        <v>-70.7333</v>
      </c>
      <c r="E265" t="s">
        <v>362</v>
      </c>
      <c r="F265">
        <v>19598</v>
      </c>
    </row>
    <row r="266" spans="1:6" x14ac:dyDescent="0.35">
      <c r="A266" t="s">
        <v>68</v>
      </c>
      <c r="B266" t="s">
        <v>53</v>
      </c>
      <c r="C266">
        <v>41.95</v>
      </c>
      <c r="D266">
        <v>-71.333299999999994</v>
      </c>
      <c r="E266" t="s">
        <v>362</v>
      </c>
      <c r="F266">
        <v>15912</v>
      </c>
    </row>
    <row r="267" spans="1:6" x14ac:dyDescent="0.35">
      <c r="A267" t="s">
        <v>262</v>
      </c>
      <c r="B267" t="s">
        <v>243</v>
      </c>
      <c r="C267">
        <v>42.133299999999998</v>
      </c>
      <c r="D267">
        <v>-71.2</v>
      </c>
      <c r="E267" t="s">
        <v>362</v>
      </c>
      <c r="F267">
        <v>18762</v>
      </c>
    </row>
    <row r="268" spans="1:6" x14ac:dyDescent="0.35">
      <c r="A268" t="s">
        <v>45</v>
      </c>
      <c r="B268" t="s">
        <v>20</v>
      </c>
      <c r="C268">
        <v>42.101500000000001</v>
      </c>
      <c r="D268">
        <v>-73.366699999999994</v>
      </c>
      <c r="E268" t="s">
        <v>364</v>
      </c>
      <c r="F268">
        <v>3324</v>
      </c>
    </row>
    <row r="269" spans="1:6" x14ac:dyDescent="0.35">
      <c r="A269" t="s">
        <v>136</v>
      </c>
      <c r="B269" t="s">
        <v>116</v>
      </c>
      <c r="C269">
        <v>42.583300000000001</v>
      </c>
      <c r="D269">
        <v>-72.7</v>
      </c>
      <c r="E269" t="s">
        <v>364</v>
      </c>
      <c r="F269">
        <v>1874</v>
      </c>
    </row>
    <row r="270" spans="1:6" x14ac:dyDescent="0.35">
      <c r="A270" t="s">
        <v>223</v>
      </c>
      <c r="B270" t="s">
        <v>187</v>
      </c>
      <c r="C270">
        <v>42.216700000000003</v>
      </c>
      <c r="D270">
        <v>-71.383300000000006</v>
      </c>
      <c r="E270" t="s">
        <v>362</v>
      </c>
      <c r="F270">
        <v>4485</v>
      </c>
    </row>
    <row r="271" spans="1:6" x14ac:dyDescent="0.35">
      <c r="A271" t="s">
        <v>224</v>
      </c>
      <c r="B271" t="s">
        <v>187</v>
      </c>
      <c r="C271">
        <v>42.55</v>
      </c>
      <c r="D271">
        <v>-71.650000000000006</v>
      </c>
      <c r="E271" t="s">
        <v>362</v>
      </c>
      <c r="F271">
        <v>7042</v>
      </c>
    </row>
    <row r="272" spans="1:6" x14ac:dyDescent="0.35">
      <c r="A272" t="s">
        <v>344</v>
      </c>
      <c r="B272" t="s">
        <v>302</v>
      </c>
      <c r="C272">
        <v>42.284199999999998</v>
      </c>
      <c r="D272">
        <v>-71.647099999999995</v>
      </c>
      <c r="E272" t="s">
        <v>363</v>
      </c>
      <c r="F272">
        <v>39620</v>
      </c>
    </row>
    <row r="273" spans="1:6" x14ac:dyDescent="0.35">
      <c r="A273" t="s">
        <v>137</v>
      </c>
      <c r="B273" t="s">
        <v>116</v>
      </c>
      <c r="C273">
        <v>42.383299999999998</v>
      </c>
      <c r="D273">
        <v>-72.333299999999994</v>
      </c>
      <c r="E273" t="s">
        <v>364</v>
      </c>
      <c r="F273">
        <v>1717</v>
      </c>
    </row>
    <row r="274" spans="1:6" x14ac:dyDescent="0.35">
      <c r="A274" t="s">
        <v>69</v>
      </c>
      <c r="B274" t="s">
        <v>53</v>
      </c>
      <c r="C274">
        <v>41.9833</v>
      </c>
      <c r="D274">
        <v>-71.150000000000006</v>
      </c>
      <c r="E274" t="s">
        <v>362</v>
      </c>
      <c r="F274">
        <v>18375</v>
      </c>
    </row>
    <row r="275" spans="1:6" x14ac:dyDescent="0.35">
      <c r="A275" t="s">
        <v>225</v>
      </c>
      <c r="B275" t="s">
        <v>187</v>
      </c>
      <c r="C275">
        <v>42.387599999999999</v>
      </c>
      <c r="D275">
        <v>-71.099500000000006</v>
      </c>
      <c r="E275" t="s">
        <v>362</v>
      </c>
      <c r="F275">
        <v>82149</v>
      </c>
    </row>
    <row r="276" spans="1:6" x14ac:dyDescent="0.35">
      <c r="A276" t="s">
        <v>180</v>
      </c>
      <c r="B276" t="s">
        <v>166</v>
      </c>
      <c r="C276">
        <v>42.25</v>
      </c>
      <c r="D276">
        <v>-72.533299999999997</v>
      </c>
      <c r="E276" t="s">
        <v>364</v>
      </c>
      <c r="F276">
        <v>18031</v>
      </c>
    </row>
    <row r="277" spans="1:6" x14ac:dyDescent="0.35">
      <c r="A277" t="s">
        <v>181</v>
      </c>
      <c r="B277" t="s">
        <v>166</v>
      </c>
      <c r="C277">
        <v>42.2</v>
      </c>
      <c r="D277">
        <v>-72.7333</v>
      </c>
      <c r="E277" t="s">
        <v>364</v>
      </c>
      <c r="F277">
        <v>6181</v>
      </c>
    </row>
    <row r="278" spans="1:6" x14ac:dyDescent="0.35">
      <c r="A278" t="s">
        <v>345</v>
      </c>
      <c r="B278" t="s">
        <v>302</v>
      </c>
      <c r="C278">
        <v>42.3</v>
      </c>
      <c r="D278">
        <v>-71.533299999999997</v>
      </c>
      <c r="E278" t="s">
        <v>363</v>
      </c>
      <c r="F278">
        <v>10569</v>
      </c>
    </row>
    <row r="279" spans="1:6" x14ac:dyDescent="0.35">
      <c r="A279" t="s">
        <v>346</v>
      </c>
      <c r="B279" t="s">
        <v>302</v>
      </c>
      <c r="C279">
        <v>42.083300000000001</v>
      </c>
      <c r="D279">
        <v>-71.9833</v>
      </c>
      <c r="E279" t="s">
        <v>363</v>
      </c>
      <c r="F279">
        <v>18106</v>
      </c>
    </row>
    <row r="280" spans="1:6" x14ac:dyDescent="0.35">
      <c r="A280" t="s">
        <v>158</v>
      </c>
      <c r="B280" t="s">
        <v>143</v>
      </c>
      <c r="C280">
        <v>42.0167</v>
      </c>
      <c r="D280">
        <v>-72.75</v>
      </c>
      <c r="E280" t="s">
        <v>364</v>
      </c>
      <c r="F280">
        <v>9277</v>
      </c>
    </row>
    <row r="281" spans="1:6" x14ac:dyDescent="0.35">
      <c r="A281" t="s">
        <v>347</v>
      </c>
      <c r="B281" t="s">
        <v>302</v>
      </c>
      <c r="C281">
        <v>42.166699999999999</v>
      </c>
      <c r="D281">
        <v>-71.95</v>
      </c>
      <c r="E281" t="s">
        <v>363</v>
      </c>
      <c r="F281">
        <v>12090</v>
      </c>
    </row>
    <row r="282" spans="1:6" x14ac:dyDescent="0.35">
      <c r="A282" t="s">
        <v>159</v>
      </c>
      <c r="B282" t="s">
        <v>143</v>
      </c>
      <c r="C282">
        <v>42.101500000000001</v>
      </c>
      <c r="D282">
        <v>-72.589799999999997</v>
      </c>
      <c r="E282" t="s">
        <v>364</v>
      </c>
      <c r="F282">
        <v>154888</v>
      </c>
    </row>
    <row r="283" spans="1:6" x14ac:dyDescent="0.35">
      <c r="A283" t="s">
        <v>348</v>
      </c>
      <c r="B283" t="s">
        <v>302</v>
      </c>
      <c r="C283">
        <v>42.416699999999999</v>
      </c>
      <c r="D283">
        <v>-71.783299999999997</v>
      </c>
      <c r="E283" t="s">
        <v>363</v>
      </c>
      <c r="F283">
        <v>8310</v>
      </c>
    </row>
    <row r="284" spans="1:6" x14ac:dyDescent="0.35">
      <c r="A284" t="s">
        <v>46</v>
      </c>
      <c r="B284" t="s">
        <v>20</v>
      </c>
      <c r="C284">
        <v>42.311900000000001</v>
      </c>
      <c r="D284">
        <v>-73.326700000000002</v>
      </c>
      <c r="E284" t="s">
        <v>364</v>
      </c>
      <c r="F284">
        <v>1986</v>
      </c>
    </row>
    <row r="285" spans="1:6" x14ac:dyDescent="0.35">
      <c r="A285" t="s">
        <v>226</v>
      </c>
      <c r="B285" t="s">
        <v>187</v>
      </c>
      <c r="C285">
        <v>42.4833</v>
      </c>
      <c r="D285">
        <v>-71.116699999999994</v>
      </c>
      <c r="E285" t="s">
        <v>362</v>
      </c>
      <c r="F285">
        <v>24550</v>
      </c>
    </row>
    <row r="286" spans="1:6" x14ac:dyDescent="0.35">
      <c r="A286" t="s">
        <v>263</v>
      </c>
      <c r="B286" t="s">
        <v>243</v>
      </c>
      <c r="C286">
        <v>42.133299999999998</v>
      </c>
      <c r="D286">
        <v>-71.083299999999994</v>
      </c>
      <c r="E286" t="s">
        <v>362</v>
      </c>
      <c r="F286">
        <v>29457</v>
      </c>
    </row>
    <row r="287" spans="1:6" x14ac:dyDescent="0.35">
      <c r="A287" t="s">
        <v>227</v>
      </c>
      <c r="B287" t="s">
        <v>187</v>
      </c>
      <c r="C287">
        <v>42.466700000000003</v>
      </c>
      <c r="D287">
        <v>-71.5</v>
      </c>
      <c r="E287" t="s">
        <v>362</v>
      </c>
      <c r="F287">
        <v>7335</v>
      </c>
    </row>
    <row r="288" spans="1:6" x14ac:dyDescent="0.35">
      <c r="A288" t="s">
        <v>349</v>
      </c>
      <c r="B288" t="s">
        <v>302</v>
      </c>
      <c r="C288">
        <v>42.116700000000002</v>
      </c>
      <c r="D288">
        <v>-72.066699999999997</v>
      </c>
      <c r="E288" t="s">
        <v>363</v>
      </c>
      <c r="F288">
        <v>10097</v>
      </c>
    </row>
    <row r="289" spans="1:6" x14ac:dyDescent="0.35">
      <c r="A289" t="s">
        <v>228</v>
      </c>
      <c r="B289" t="s">
        <v>187</v>
      </c>
      <c r="C289">
        <v>42.383299999999998</v>
      </c>
      <c r="D289">
        <v>-71.416700000000006</v>
      </c>
      <c r="E289" t="s">
        <v>362</v>
      </c>
      <c r="F289">
        <v>19805</v>
      </c>
    </row>
    <row r="290" spans="1:6" x14ac:dyDescent="0.35">
      <c r="A290" t="s">
        <v>138</v>
      </c>
      <c r="B290" t="s">
        <v>116</v>
      </c>
      <c r="C290">
        <v>42.45</v>
      </c>
      <c r="D290">
        <v>-72.5</v>
      </c>
      <c r="E290" t="s">
        <v>364</v>
      </c>
      <c r="F290">
        <v>3628</v>
      </c>
    </row>
    <row r="291" spans="1:6" x14ac:dyDescent="0.35">
      <c r="A291" t="s">
        <v>350</v>
      </c>
      <c r="B291" t="s">
        <v>302</v>
      </c>
      <c r="C291">
        <v>42.15</v>
      </c>
      <c r="D291">
        <v>-71.833299999999994</v>
      </c>
      <c r="E291" t="s">
        <v>363</v>
      </c>
      <c r="F291">
        <v>9599</v>
      </c>
    </row>
    <row r="292" spans="1:6" x14ac:dyDescent="0.35">
      <c r="A292" t="s">
        <v>111</v>
      </c>
      <c r="B292" t="s">
        <v>82</v>
      </c>
      <c r="C292">
        <v>42.4833</v>
      </c>
      <c r="D292">
        <v>-70.916700000000006</v>
      </c>
      <c r="E292" t="s">
        <v>362</v>
      </c>
      <c r="F292">
        <v>15658</v>
      </c>
    </row>
    <row r="293" spans="1:6" x14ac:dyDescent="0.35">
      <c r="A293" t="s">
        <v>70</v>
      </c>
      <c r="B293" t="s">
        <v>53</v>
      </c>
      <c r="C293">
        <v>41.966700000000003</v>
      </c>
      <c r="D293">
        <v>-71.2</v>
      </c>
      <c r="E293" t="s">
        <v>362</v>
      </c>
      <c r="F293">
        <v>17537</v>
      </c>
    </row>
    <row r="294" spans="1:6" x14ac:dyDescent="0.35">
      <c r="A294" t="s">
        <v>71</v>
      </c>
      <c r="B294" t="s">
        <v>53</v>
      </c>
      <c r="C294">
        <v>41.9</v>
      </c>
      <c r="D294">
        <v>-71.066699999999997</v>
      </c>
      <c r="E294" t="s">
        <v>362</v>
      </c>
      <c r="F294">
        <v>61936</v>
      </c>
    </row>
    <row r="295" spans="1:6" x14ac:dyDescent="0.35">
      <c r="A295" t="s">
        <v>351</v>
      </c>
      <c r="B295" t="s">
        <v>302</v>
      </c>
      <c r="C295">
        <v>42.633299999999998</v>
      </c>
      <c r="D295">
        <v>-72.066699999999997</v>
      </c>
      <c r="E295" t="s">
        <v>363</v>
      </c>
      <c r="F295">
        <v>8387</v>
      </c>
    </row>
    <row r="296" spans="1:6" x14ac:dyDescent="0.35">
      <c r="A296" t="s">
        <v>229</v>
      </c>
      <c r="B296" t="s">
        <v>187</v>
      </c>
      <c r="C296">
        <v>42.6</v>
      </c>
      <c r="D296">
        <v>-71.216700000000003</v>
      </c>
      <c r="E296" t="s">
        <v>362</v>
      </c>
      <c r="F296">
        <v>31796</v>
      </c>
    </row>
    <row r="297" spans="1:6" x14ac:dyDescent="0.35">
      <c r="A297" t="s">
        <v>79</v>
      </c>
      <c r="B297" t="s">
        <v>74</v>
      </c>
      <c r="C297">
        <v>41.433300000000003</v>
      </c>
      <c r="D297">
        <v>-70.599999999999994</v>
      </c>
      <c r="E297" t="s">
        <v>362</v>
      </c>
      <c r="F297">
        <v>4927</v>
      </c>
    </row>
    <row r="298" spans="1:6" x14ac:dyDescent="0.35">
      <c r="A298" t="s">
        <v>160</v>
      </c>
      <c r="B298" t="s">
        <v>143</v>
      </c>
      <c r="C298">
        <v>42.083300000000001</v>
      </c>
      <c r="D298">
        <v>-73.05</v>
      </c>
      <c r="E298" t="s">
        <v>364</v>
      </c>
      <c r="F298">
        <v>474</v>
      </c>
    </row>
    <row r="299" spans="1:6" x14ac:dyDescent="0.35">
      <c r="A299" t="s">
        <v>112</v>
      </c>
      <c r="B299" t="s">
        <v>82</v>
      </c>
      <c r="C299">
        <v>42.65</v>
      </c>
      <c r="D299">
        <v>-70.966700000000003</v>
      </c>
      <c r="E299" t="s">
        <v>362</v>
      </c>
      <c r="F299">
        <v>6620</v>
      </c>
    </row>
    <row r="300" spans="1:6" x14ac:dyDescent="0.35">
      <c r="A300" t="s">
        <v>230</v>
      </c>
      <c r="B300" t="s">
        <v>187</v>
      </c>
      <c r="C300">
        <v>42.666699999999999</v>
      </c>
      <c r="D300">
        <v>-71.7</v>
      </c>
      <c r="E300" t="s">
        <v>362</v>
      </c>
      <c r="F300">
        <v>9220</v>
      </c>
    </row>
    <row r="301" spans="1:6" x14ac:dyDescent="0.35">
      <c r="A301" t="s">
        <v>16</v>
      </c>
      <c r="B301" t="s">
        <v>4</v>
      </c>
      <c r="C301">
        <v>41.996099999999998</v>
      </c>
      <c r="D301">
        <v>-70.062700000000007</v>
      </c>
      <c r="E301" t="s">
        <v>362</v>
      </c>
      <c r="F301">
        <v>2484</v>
      </c>
    </row>
    <row r="302" spans="1:6" x14ac:dyDescent="0.35">
      <c r="A302" t="s">
        <v>231</v>
      </c>
      <c r="B302" t="s">
        <v>187</v>
      </c>
      <c r="C302">
        <v>42.65</v>
      </c>
      <c r="D302">
        <v>-71.433300000000003</v>
      </c>
      <c r="E302" t="s">
        <v>362</v>
      </c>
      <c r="F302">
        <v>12779</v>
      </c>
    </row>
    <row r="303" spans="1:6" x14ac:dyDescent="0.35">
      <c r="A303" t="s">
        <v>47</v>
      </c>
      <c r="B303" t="s">
        <v>20</v>
      </c>
      <c r="C303">
        <v>42.25</v>
      </c>
      <c r="D303">
        <v>-73.25</v>
      </c>
      <c r="E303" t="s">
        <v>364</v>
      </c>
      <c r="F303">
        <v>419</v>
      </c>
    </row>
    <row r="304" spans="1:6" x14ac:dyDescent="0.35">
      <c r="A304" t="s">
        <v>352</v>
      </c>
      <c r="B304" t="s">
        <v>302</v>
      </c>
      <c r="C304">
        <v>42.133299999999998</v>
      </c>
      <c r="D304">
        <v>-71.633300000000006</v>
      </c>
      <c r="E304" t="s">
        <v>363</v>
      </c>
      <c r="F304">
        <v>8475</v>
      </c>
    </row>
    <row r="305" spans="1:6" x14ac:dyDescent="0.35">
      <c r="A305" t="s">
        <v>353</v>
      </c>
      <c r="B305" t="s">
        <v>302</v>
      </c>
      <c r="C305">
        <v>42.066699999999997</v>
      </c>
      <c r="D305">
        <v>-71.633300000000006</v>
      </c>
      <c r="E305" t="s">
        <v>363</v>
      </c>
      <c r="F305">
        <v>14703</v>
      </c>
    </row>
    <row r="306" spans="1:6" x14ac:dyDescent="0.35">
      <c r="A306" t="s">
        <v>232</v>
      </c>
      <c r="B306" t="s">
        <v>187</v>
      </c>
      <c r="C306">
        <v>42.5</v>
      </c>
      <c r="D306">
        <v>-71.083299999999994</v>
      </c>
      <c r="E306" t="s">
        <v>362</v>
      </c>
      <c r="F306">
        <v>29216</v>
      </c>
    </row>
    <row r="307" spans="1:6" x14ac:dyDescent="0.35">
      <c r="A307" t="s">
        <v>161</v>
      </c>
      <c r="B307" t="s">
        <v>143</v>
      </c>
      <c r="C307">
        <v>42.15</v>
      </c>
      <c r="D307">
        <v>-72.05</v>
      </c>
      <c r="E307" t="s">
        <v>364</v>
      </c>
      <c r="F307">
        <v>1828</v>
      </c>
    </row>
    <row r="308" spans="1:6" x14ac:dyDescent="0.35">
      <c r="A308" t="s">
        <v>264</v>
      </c>
      <c r="B308" t="s">
        <v>243</v>
      </c>
      <c r="C308">
        <v>42.15</v>
      </c>
      <c r="D308">
        <v>-71.2333</v>
      </c>
      <c r="E308" t="s">
        <v>362</v>
      </c>
      <c r="F308">
        <v>26391</v>
      </c>
    </row>
    <row r="309" spans="1:6" x14ac:dyDescent="0.35">
      <c r="A309" t="s">
        <v>233</v>
      </c>
      <c r="B309" t="s">
        <v>187</v>
      </c>
      <c r="C309">
        <v>42.376399999999997</v>
      </c>
      <c r="D309">
        <v>-71.235600000000005</v>
      </c>
      <c r="E309" t="s">
        <v>362</v>
      </c>
      <c r="F309">
        <v>65849</v>
      </c>
    </row>
    <row r="310" spans="1:6" x14ac:dyDescent="0.35">
      <c r="A310" t="s">
        <v>182</v>
      </c>
      <c r="B310" t="s">
        <v>166</v>
      </c>
      <c r="C310">
        <v>42.2667</v>
      </c>
      <c r="D310">
        <v>-72.25</v>
      </c>
      <c r="E310" t="s">
        <v>364</v>
      </c>
      <c r="F310">
        <v>10142</v>
      </c>
    </row>
    <row r="311" spans="1:6" x14ac:dyDescent="0.35">
      <c r="A311" t="s">
        <v>293</v>
      </c>
      <c r="B311" t="s">
        <v>270</v>
      </c>
      <c r="C311">
        <v>41.75</v>
      </c>
      <c r="D311">
        <v>-70.7333</v>
      </c>
      <c r="E311" t="s">
        <v>362</v>
      </c>
      <c r="F311">
        <v>23526</v>
      </c>
    </row>
    <row r="312" spans="1:6" x14ac:dyDescent="0.35">
      <c r="A312" t="s">
        <v>354</v>
      </c>
      <c r="B312" t="s">
        <v>302</v>
      </c>
      <c r="C312">
        <v>42.25</v>
      </c>
      <c r="D312">
        <v>-72.166700000000006</v>
      </c>
      <c r="E312" t="s">
        <v>363</v>
      </c>
      <c r="F312">
        <v>5086</v>
      </c>
    </row>
    <row r="313" spans="1:6" x14ac:dyDescent="0.35">
      <c r="A313" t="s">
        <v>139</v>
      </c>
      <c r="B313" t="s">
        <v>116</v>
      </c>
      <c r="C313">
        <v>42.7</v>
      </c>
      <c r="D313">
        <v>-72.8</v>
      </c>
      <c r="E313" t="s">
        <v>364</v>
      </c>
      <c r="F313">
        <v>774</v>
      </c>
    </row>
    <row r="314" spans="1:6" x14ac:dyDescent="0.35">
      <c r="A314" t="s">
        <v>48</v>
      </c>
      <c r="B314" t="s">
        <v>20</v>
      </c>
      <c r="C314">
        <v>42.35</v>
      </c>
      <c r="D314">
        <v>-73.25</v>
      </c>
      <c r="E314" t="s">
        <v>364</v>
      </c>
      <c r="F314">
        <v>497</v>
      </c>
    </row>
    <row r="315" spans="1:6" x14ac:dyDescent="0.35">
      <c r="A315" t="s">
        <v>234</v>
      </c>
      <c r="B315" t="s">
        <v>187</v>
      </c>
      <c r="C315">
        <v>42.363900000000001</v>
      </c>
      <c r="D315">
        <v>-71.195499999999996</v>
      </c>
      <c r="E315" t="s">
        <v>362</v>
      </c>
      <c r="F315">
        <v>35270</v>
      </c>
    </row>
    <row r="316" spans="1:6" x14ac:dyDescent="0.35">
      <c r="A316" t="s">
        <v>235</v>
      </c>
      <c r="B316" t="s">
        <v>187</v>
      </c>
      <c r="C316">
        <v>42.366700000000002</v>
      </c>
      <c r="D316">
        <v>-71.383300000000006</v>
      </c>
      <c r="E316" t="s">
        <v>362</v>
      </c>
      <c r="F316">
        <v>14054</v>
      </c>
    </row>
    <row r="317" spans="1:6" x14ac:dyDescent="0.35">
      <c r="A317" t="s">
        <v>355</v>
      </c>
      <c r="B317" t="s">
        <v>302</v>
      </c>
      <c r="C317">
        <v>42.066699999999997</v>
      </c>
      <c r="D317">
        <v>-71.816699999999997</v>
      </c>
      <c r="E317" t="s">
        <v>363</v>
      </c>
      <c r="F317">
        <v>17817</v>
      </c>
    </row>
    <row r="318" spans="1:6" x14ac:dyDescent="0.35">
      <c r="A318" t="s">
        <v>265</v>
      </c>
      <c r="B318" t="s">
        <v>243</v>
      </c>
      <c r="C318">
        <v>42.283299999999997</v>
      </c>
      <c r="D318">
        <v>-71.2667</v>
      </c>
      <c r="E318" t="s">
        <v>362</v>
      </c>
      <c r="F318">
        <v>31242</v>
      </c>
    </row>
    <row r="319" spans="1:6" x14ac:dyDescent="0.35">
      <c r="A319" t="s">
        <v>17</v>
      </c>
      <c r="B319" t="s">
        <v>4</v>
      </c>
      <c r="C319">
        <v>41.920900000000003</v>
      </c>
      <c r="D319">
        <v>-70.026899999999998</v>
      </c>
      <c r="E319" t="s">
        <v>362</v>
      </c>
      <c r="F319">
        <v>3645</v>
      </c>
    </row>
    <row r="320" spans="1:6" x14ac:dyDescent="0.35">
      <c r="A320" t="s">
        <v>140</v>
      </c>
      <c r="B320" t="s">
        <v>116</v>
      </c>
      <c r="C320">
        <v>42.383299999999998</v>
      </c>
      <c r="D320">
        <v>-72.416700000000006</v>
      </c>
      <c r="E320" t="s">
        <v>364</v>
      </c>
      <c r="F320">
        <v>916</v>
      </c>
    </row>
    <row r="321" spans="1:6" x14ac:dyDescent="0.35">
      <c r="A321" t="s">
        <v>113</v>
      </c>
      <c r="B321" t="s">
        <v>82</v>
      </c>
      <c r="C321">
        <v>42.616700000000002</v>
      </c>
      <c r="D321">
        <v>-70.866699999999994</v>
      </c>
      <c r="E321" t="s">
        <v>362</v>
      </c>
      <c r="F321">
        <v>4945</v>
      </c>
    </row>
    <row r="322" spans="1:6" x14ac:dyDescent="0.35">
      <c r="A322" t="s">
        <v>356</v>
      </c>
      <c r="B322" t="s">
        <v>302</v>
      </c>
      <c r="C322">
        <v>42.383299999999998</v>
      </c>
      <c r="D322">
        <v>-71.783299999999997</v>
      </c>
      <c r="E322" t="s">
        <v>363</v>
      </c>
      <c r="F322">
        <v>7938</v>
      </c>
    </row>
    <row r="323" spans="1:6" x14ac:dyDescent="0.35">
      <c r="A323" t="s">
        <v>294</v>
      </c>
      <c r="B323" t="s">
        <v>270</v>
      </c>
      <c r="C323">
        <v>41.966700000000003</v>
      </c>
      <c r="D323">
        <v>-70.95</v>
      </c>
      <c r="E323" t="s">
        <v>362</v>
      </c>
      <c r="F323">
        <v>7771</v>
      </c>
    </row>
    <row r="324" spans="1:6" x14ac:dyDescent="0.35">
      <c r="A324" t="s">
        <v>357</v>
      </c>
      <c r="B324" t="s">
        <v>302</v>
      </c>
      <c r="C324">
        <v>42.2</v>
      </c>
      <c r="D324">
        <v>-72.033299999999997</v>
      </c>
      <c r="E324" t="s">
        <v>363</v>
      </c>
      <c r="F324">
        <v>3917</v>
      </c>
    </row>
    <row r="325" spans="1:6" x14ac:dyDescent="0.35">
      <c r="A325" t="s">
        <v>114</v>
      </c>
      <c r="B325" t="s">
        <v>82</v>
      </c>
      <c r="C325">
        <v>42.8</v>
      </c>
      <c r="D325">
        <v>-71.150000000000006</v>
      </c>
      <c r="E325" t="s">
        <v>362</v>
      </c>
      <c r="F325">
        <v>4680</v>
      </c>
    </row>
    <row r="326" spans="1:6" x14ac:dyDescent="0.35">
      <c r="A326" t="s">
        <v>162</v>
      </c>
      <c r="B326" t="s">
        <v>143</v>
      </c>
      <c r="C326">
        <v>42.1096</v>
      </c>
      <c r="D326">
        <v>-72.631900000000002</v>
      </c>
      <c r="E326" t="s">
        <v>364</v>
      </c>
      <c r="F326">
        <v>29028</v>
      </c>
    </row>
    <row r="327" spans="1:6" x14ac:dyDescent="0.35">
      <c r="A327" t="s">
        <v>49</v>
      </c>
      <c r="B327" t="s">
        <v>20</v>
      </c>
      <c r="C327">
        <v>42.333300000000001</v>
      </c>
      <c r="D327">
        <v>-73.349999999999994</v>
      </c>
      <c r="E327" t="s">
        <v>364</v>
      </c>
      <c r="F327">
        <v>1323</v>
      </c>
    </row>
    <row r="328" spans="1:6" x14ac:dyDescent="0.35">
      <c r="A328" t="s">
        <v>80</v>
      </c>
      <c r="B328" t="s">
        <v>74</v>
      </c>
      <c r="C328">
        <v>41.45</v>
      </c>
      <c r="D328">
        <v>-70.7333</v>
      </c>
      <c r="E328" t="s">
        <v>362</v>
      </c>
      <c r="F328">
        <v>3637</v>
      </c>
    </row>
    <row r="329" spans="1:6" x14ac:dyDescent="0.35">
      <c r="A329" t="s">
        <v>358</v>
      </c>
      <c r="B329" t="s">
        <v>302</v>
      </c>
      <c r="C329">
        <v>42.284199999999998</v>
      </c>
      <c r="D329">
        <v>-71.647099999999995</v>
      </c>
      <c r="E329" t="s">
        <v>363</v>
      </c>
      <c r="F329">
        <v>22643</v>
      </c>
    </row>
    <row r="330" spans="1:6" x14ac:dyDescent="0.35">
      <c r="A330" t="s">
        <v>163</v>
      </c>
      <c r="B330" t="s">
        <v>143</v>
      </c>
      <c r="C330">
        <v>42.133299999999998</v>
      </c>
      <c r="D330">
        <v>-72.7667</v>
      </c>
      <c r="E330" t="s">
        <v>364</v>
      </c>
      <c r="F330">
        <v>40403</v>
      </c>
    </row>
    <row r="331" spans="1:6" x14ac:dyDescent="0.35">
      <c r="A331" t="s">
        <v>236</v>
      </c>
      <c r="B331" t="s">
        <v>187</v>
      </c>
      <c r="C331">
        <v>42.55</v>
      </c>
      <c r="D331">
        <v>-71.45</v>
      </c>
      <c r="E331" t="s">
        <v>362</v>
      </c>
      <c r="F331">
        <v>25024</v>
      </c>
    </row>
    <row r="332" spans="1:6" x14ac:dyDescent="0.35">
      <c r="A332" t="s">
        <v>183</v>
      </c>
      <c r="B332" t="s">
        <v>166</v>
      </c>
      <c r="C332">
        <v>42.283299999999997</v>
      </c>
      <c r="D332">
        <v>-72.75</v>
      </c>
      <c r="E332" t="s">
        <v>364</v>
      </c>
      <c r="F332">
        <v>1629</v>
      </c>
    </row>
    <row r="333" spans="1:6" x14ac:dyDescent="0.35">
      <c r="A333" t="s">
        <v>359</v>
      </c>
      <c r="B333" t="s">
        <v>302</v>
      </c>
      <c r="C333">
        <v>42.5167</v>
      </c>
      <c r="D333">
        <v>-71.650000000000006</v>
      </c>
      <c r="E333" t="s">
        <v>363</v>
      </c>
      <c r="F333">
        <v>8509</v>
      </c>
    </row>
    <row r="334" spans="1:6" x14ac:dyDescent="0.35">
      <c r="A334" t="s">
        <v>237</v>
      </c>
      <c r="B334" t="s">
        <v>187</v>
      </c>
      <c r="C334">
        <v>42.366700000000002</v>
      </c>
      <c r="D334">
        <v>-71.3</v>
      </c>
      <c r="E334" t="s">
        <v>362</v>
      </c>
      <c r="F334">
        <v>11827</v>
      </c>
    </row>
    <row r="335" spans="1:6" x14ac:dyDescent="0.35">
      <c r="A335" t="s">
        <v>72</v>
      </c>
      <c r="B335" t="s">
        <v>53</v>
      </c>
      <c r="C335">
        <v>41.65</v>
      </c>
      <c r="D335">
        <v>-71.333299999999994</v>
      </c>
      <c r="E335" t="s">
        <v>362</v>
      </c>
      <c r="F335">
        <v>16705</v>
      </c>
    </row>
    <row r="336" spans="1:6" x14ac:dyDescent="0.35">
      <c r="A336" t="s">
        <v>266</v>
      </c>
      <c r="B336" t="s">
        <v>243</v>
      </c>
      <c r="C336">
        <v>42.2</v>
      </c>
      <c r="D336">
        <v>-71.2333</v>
      </c>
      <c r="E336" t="s">
        <v>362</v>
      </c>
      <c r="F336">
        <v>16533</v>
      </c>
    </row>
    <row r="337" spans="1:6" x14ac:dyDescent="0.35">
      <c r="A337" t="s">
        <v>267</v>
      </c>
      <c r="B337" t="s">
        <v>243</v>
      </c>
      <c r="C337">
        <v>42.22</v>
      </c>
      <c r="D337">
        <v>-71.040000000000006</v>
      </c>
      <c r="E337" t="s">
        <v>362</v>
      </c>
      <c r="F337">
        <v>60159</v>
      </c>
    </row>
    <row r="338" spans="1:6" x14ac:dyDescent="0.35">
      <c r="A338" t="s">
        <v>141</v>
      </c>
      <c r="B338" t="s">
        <v>116</v>
      </c>
      <c r="C338">
        <v>42.5</v>
      </c>
      <c r="D338">
        <v>-72.533299999999997</v>
      </c>
      <c r="E338" t="s">
        <v>364</v>
      </c>
      <c r="F338">
        <v>1626</v>
      </c>
    </row>
    <row r="339" spans="1:6" x14ac:dyDescent="0.35">
      <c r="A339" t="s">
        <v>295</v>
      </c>
      <c r="B339" t="s">
        <v>270</v>
      </c>
      <c r="C339">
        <v>42.116700000000002</v>
      </c>
      <c r="D339">
        <v>-71.166700000000006</v>
      </c>
      <c r="E339" t="s">
        <v>362</v>
      </c>
      <c r="F339">
        <v>15459</v>
      </c>
    </row>
    <row r="340" spans="1:6" x14ac:dyDescent="0.35">
      <c r="A340" t="s">
        <v>164</v>
      </c>
      <c r="B340" t="s">
        <v>143</v>
      </c>
      <c r="C340">
        <v>42.083300000000001</v>
      </c>
      <c r="D340">
        <v>-72.416700000000006</v>
      </c>
      <c r="E340" t="s">
        <v>364</v>
      </c>
      <c r="F340">
        <v>14663</v>
      </c>
    </row>
    <row r="341" spans="1:6" x14ac:dyDescent="0.35">
      <c r="A341" t="s">
        <v>184</v>
      </c>
      <c r="B341" t="s">
        <v>166</v>
      </c>
      <c r="C341">
        <v>42.4</v>
      </c>
      <c r="D341">
        <v>-72.716700000000003</v>
      </c>
      <c r="E341" t="s">
        <v>364</v>
      </c>
      <c r="F341">
        <v>2475</v>
      </c>
    </row>
    <row r="342" spans="1:6" x14ac:dyDescent="0.35">
      <c r="A342" t="s">
        <v>50</v>
      </c>
      <c r="B342" t="s">
        <v>20</v>
      </c>
      <c r="C342">
        <v>42.714799999999997</v>
      </c>
      <c r="D342">
        <v>-73.203599999999994</v>
      </c>
      <c r="E342" t="s">
        <v>364</v>
      </c>
      <c r="F342">
        <v>9189</v>
      </c>
    </row>
    <row r="343" spans="1:6" x14ac:dyDescent="0.35">
      <c r="A343" t="s">
        <v>238</v>
      </c>
      <c r="B343" t="s">
        <v>187</v>
      </c>
      <c r="C343">
        <v>42.55</v>
      </c>
      <c r="D343">
        <v>-71.150000000000006</v>
      </c>
      <c r="E343" t="s">
        <v>362</v>
      </c>
      <c r="F343">
        <v>23802</v>
      </c>
    </row>
    <row r="344" spans="1:6" x14ac:dyDescent="0.35">
      <c r="A344" t="s">
        <v>360</v>
      </c>
      <c r="B344" t="s">
        <v>302</v>
      </c>
      <c r="C344">
        <v>42.683300000000003</v>
      </c>
      <c r="D344">
        <v>-72.066699999999997</v>
      </c>
      <c r="E344" t="s">
        <v>363</v>
      </c>
      <c r="F344">
        <v>10587</v>
      </c>
    </row>
    <row r="345" spans="1:6" x14ac:dyDescent="0.35">
      <c r="A345" t="s">
        <v>239</v>
      </c>
      <c r="B345" t="s">
        <v>187</v>
      </c>
      <c r="C345">
        <v>42.45</v>
      </c>
      <c r="D345">
        <v>-71.133300000000006</v>
      </c>
      <c r="E345" t="s">
        <v>362</v>
      </c>
      <c r="F345">
        <v>23953</v>
      </c>
    </row>
    <row r="346" spans="1:6" x14ac:dyDescent="0.35">
      <c r="A346" t="s">
        <v>51</v>
      </c>
      <c r="B346" t="s">
        <v>20</v>
      </c>
      <c r="C346">
        <v>42.5</v>
      </c>
      <c r="D346">
        <v>-73.099999999999994</v>
      </c>
      <c r="E346" t="s">
        <v>364</v>
      </c>
      <c r="F346">
        <v>817</v>
      </c>
    </row>
    <row r="347" spans="1:6" x14ac:dyDescent="0.35">
      <c r="A347" t="s">
        <v>300</v>
      </c>
      <c r="B347" t="s">
        <v>297</v>
      </c>
      <c r="C347">
        <v>42.372399999999999</v>
      </c>
      <c r="D347">
        <v>-71.014200000000002</v>
      </c>
      <c r="E347" t="s">
        <v>362</v>
      </c>
      <c r="F347">
        <v>18739</v>
      </c>
    </row>
    <row r="348" spans="1:6" x14ac:dyDescent="0.35">
      <c r="A348" t="s">
        <v>240</v>
      </c>
      <c r="B348" t="s">
        <v>187</v>
      </c>
      <c r="C348">
        <v>42.490600000000001</v>
      </c>
      <c r="D348">
        <v>-71.154399999999995</v>
      </c>
      <c r="E348" t="s">
        <v>362</v>
      </c>
      <c r="F348">
        <v>43895</v>
      </c>
    </row>
    <row r="349" spans="1:6" x14ac:dyDescent="0.35">
      <c r="A349" t="s">
        <v>302</v>
      </c>
      <c r="B349" t="s">
        <v>302</v>
      </c>
      <c r="C349">
        <v>42.2652</v>
      </c>
      <c r="D349">
        <v>-71.8018</v>
      </c>
      <c r="E349" t="s">
        <v>363</v>
      </c>
      <c r="F349">
        <v>211286</v>
      </c>
    </row>
    <row r="350" spans="1:6" x14ac:dyDescent="0.35">
      <c r="A350" t="s">
        <v>185</v>
      </c>
      <c r="B350" t="s">
        <v>166</v>
      </c>
      <c r="C350">
        <v>42.416699999999999</v>
      </c>
      <c r="D350">
        <v>-72.900000000000006</v>
      </c>
      <c r="E350" t="s">
        <v>364</v>
      </c>
      <c r="F350">
        <v>1181</v>
      </c>
    </row>
    <row r="351" spans="1:6" x14ac:dyDescent="0.35">
      <c r="A351" t="s">
        <v>268</v>
      </c>
      <c r="B351" t="s">
        <v>243</v>
      </c>
      <c r="C351">
        <v>42.083300000000001</v>
      </c>
      <c r="D351">
        <v>-71.349999999999994</v>
      </c>
      <c r="E351" t="s">
        <v>362</v>
      </c>
      <c r="F351">
        <v>12516</v>
      </c>
    </row>
    <row r="352" spans="1:6" x14ac:dyDescent="0.35">
      <c r="A352" t="s">
        <v>18</v>
      </c>
      <c r="B352" t="s">
        <v>4</v>
      </c>
      <c r="C352">
        <v>41.708399999999997</v>
      </c>
      <c r="D352">
        <v>-70.229200000000006</v>
      </c>
      <c r="E352" t="s">
        <v>362</v>
      </c>
      <c r="F352">
        <v>25208</v>
      </c>
    </row>
  </sheetData>
  <autoFilter ref="A1:F352" xr:uid="{E43F2AE6-CE55-475B-A13F-C6A91B68038B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3D9E-526E-45EC-8B04-7C6A22F0646D}">
  <dimension ref="A1:C15"/>
  <sheetViews>
    <sheetView workbookViewId="0">
      <selection activeCell="D24" sqref="D24"/>
    </sheetView>
  </sheetViews>
  <sheetFormatPr defaultRowHeight="14.5" x14ac:dyDescent="0.35"/>
  <cols>
    <col min="1" max="1" width="15.26953125" bestFit="1" customWidth="1"/>
    <col min="2" max="2" width="9.26953125" bestFit="1" customWidth="1"/>
  </cols>
  <sheetData>
    <row r="1" spans="1:3" x14ac:dyDescent="0.35">
      <c r="A1" t="s">
        <v>1</v>
      </c>
      <c r="B1" t="s">
        <v>365</v>
      </c>
    </row>
    <row r="2" spans="1:3" x14ac:dyDescent="0.35">
      <c r="A2" t="s">
        <v>366</v>
      </c>
      <c r="B2">
        <v>227942</v>
      </c>
      <c r="C2" t="s">
        <v>362</v>
      </c>
    </row>
    <row r="3" spans="1:3" x14ac:dyDescent="0.35">
      <c r="A3" t="s">
        <v>367</v>
      </c>
      <c r="B3">
        <v>129089</v>
      </c>
      <c r="C3" t="s">
        <v>364</v>
      </c>
    </row>
    <row r="4" spans="1:3" x14ac:dyDescent="0.35">
      <c r="A4" t="s">
        <v>368</v>
      </c>
      <c r="B4">
        <v>576070</v>
      </c>
      <c r="C4" t="s">
        <v>362</v>
      </c>
    </row>
    <row r="5" spans="1:3" x14ac:dyDescent="0.35">
      <c r="A5" t="s">
        <v>369</v>
      </c>
      <c r="B5">
        <v>20277</v>
      </c>
      <c r="C5" t="s">
        <v>362</v>
      </c>
    </row>
    <row r="6" spans="1:3" x14ac:dyDescent="0.35">
      <c r="A6" t="s">
        <v>370</v>
      </c>
      <c r="B6">
        <v>804598</v>
      </c>
      <c r="C6" t="s">
        <v>362</v>
      </c>
    </row>
    <row r="7" spans="1:3" x14ac:dyDescent="0.35">
      <c r="A7" t="s">
        <v>371</v>
      </c>
      <c r="B7">
        <v>71085</v>
      </c>
      <c r="C7" t="s">
        <v>364</v>
      </c>
    </row>
    <row r="8" spans="1:3" x14ac:dyDescent="0.35">
      <c r="A8" t="s">
        <v>372</v>
      </c>
      <c r="B8">
        <v>466265</v>
      </c>
      <c r="C8" t="s">
        <v>364</v>
      </c>
    </row>
    <row r="9" spans="1:3" x14ac:dyDescent="0.35">
      <c r="A9" t="s">
        <v>373</v>
      </c>
      <c r="B9">
        <v>161810</v>
      </c>
      <c r="C9" t="s">
        <v>364</v>
      </c>
    </row>
    <row r="10" spans="1:3" x14ac:dyDescent="0.35">
      <c r="A10" t="s">
        <v>374</v>
      </c>
      <c r="B10">
        <v>1623411</v>
      </c>
      <c r="C10" t="s">
        <v>362</v>
      </c>
    </row>
    <row r="11" spans="1:3" x14ac:dyDescent="0.35">
      <c r="A11" t="s">
        <v>375</v>
      </c>
      <c r="B11">
        <v>13795</v>
      </c>
      <c r="C11" t="s">
        <v>362</v>
      </c>
    </row>
    <row r="12" spans="1:3" x14ac:dyDescent="0.35">
      <c r="A12" t="s">
        <v>376</v>
      </c>
      <c r="B12">
        <v>720403</v>
      </c>
      <c r="C12" t="s">
        <v>362</v>
      </c>
    </row>
    <row r="13" spans="1:3" x14ac:dyDescent="0.35">
      <c r="A13" t="s">
        <v>377</v>
      </c>
      <c r="B13">
        <v>527602</v>
      </c>
      <c r="C13" t="s">
        <v>362</v>
      </c>
    </row>
    <row r="14" spans="1:3" x14ac:dyDescent="0.35">
      <c r="A14" t="s">
        <v>378</v>
      </c>
      <c r="B14">
        <v>792647</v>
      </c>
      <c r="C14" t="s">
        <v>362</v>
      </c>
    </row>
    <row r="15" spans="1:3" x14ac:dyDescent="0.35">
      <c r="A15" t="s">
        <v>379</v>
      </c>
      <c r="B15">
        <v>856858</v>
      </c>
      <c r="C15" t="s">
        <v>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394C-4BFE-4EF5-96D7-C349A6A818CD}">
  <dimension ref="A1:J65"/>
  <sheetViews>
    <sheetView zoomScale="42" zoomScaleNormal="100" workbookViewId="0">
      <selection activeCell="Q26" sqref="Q26"/>
    </sheetView>
  </sheetViews>
  <sheetFormatPr defaultRowHeight="14.5" x14ac:dyDescent="0.35"/>
  <cols>
    <col min="1" max="1" width="36.90625" bestFit="1" customWidth="1"/>
    <col min="2" max="2" width="15.36328125" customWidth="1"/>
    <col min="3" max="3" width="14.90625" bestFit="1" customWidth="1"/>
    <col min="4" max="4" width="15.6328125" bestFit="1" customWidth="1"/>
    <col min="5" max="5" width="12.90625" bestFit="1" customWidth="1"/>
    <col min="6" max="6" width="13.54296875" bestFit="1" customWidth="1"/>
    <col min="8" max="8" width="10.1796875" bestFit="1" customWidth="1"/>
    <col min="9" max="9" width="13.6328125" bestFit="1" customWidth="1"/>
  </cols>
  <sheetData>
    <row r="1" spans="1:10" x14ac:dyDescent="0.35">
      <c r="A1" t="s">
        <v>1</v>
      </c>
      <c r="B1" t="s">
        <v>2</v>
      </c>
      <c r="C1" t="s">
        <v>380</v>
      </c>
      <c r="D1" t="s">
        <v>365</v>
      </c>
      <c r="E1" t="s">
        <v>361</v>
      </c>
      <c r="F1" t="s">
        <v>394</v>
      </c>
      <c r="G1" t="s">
        <v>393</v>
      </c>
      <c r="H1" t="s">
        <v>395</v>
      </c>
      <c r="I1" t="s">
        <v>396</v>
      </c>
      <c r="J1" t="s">
        <v>398</v>
      </c>
    </row>
    <row r="2" spans="1:10" x14ac:dyDescent="0.35">
      <c r="A2" t="s">
        <v>379</v>
      </c>
      <c r="B2">
        <v>42.318058333333333</v>
      </c>
      <c r="C2">
        <v>-71.840493333333342</v>
      </c>
      <c r="D2">
        <v>856858</v>
      </c>
      <c r="E2" t="s">
        <v>363</v>
      </c>
      <c r="F2" s="5">
        <v>93561</v>
      </c>
      <c r="G2">
        <v>3</v>
      </c>
      <c r="H2">
        <v>40</v>
      </c>
      <c r="I2">
        <v>3</v>
      </c>
      <c r="J2">
        <f>D2*(F2/C20)*(G2/F20)*(H2/D20)*(I2/E20)</f>
        <v>856858</v>
      </c>
    </row>
    <row r="3" spans="1:10" x14ac:dyDescent="0.35">
      <c r="A3" t="s">
        <v>366</v>
      </c>
      <c r="B3">
        <v>41.783733333333331</v>
      </c>
      <c r="C3">
        <v>-70.177093333333332</v>
      </c>
      <c r="D3">
        <v>227942</v>
      </c>
      <c r="E3" t="s">
        <v>362</v>
      </c>
      <c r="F3">
        <v>94452</v>
      </c>
      <c r="G3">
        <v>1</v>
      </c>
      <c r="H3">
        <v>56</v>
      </c>
      <c r="I3">
        <v>1</v>
      </c>
      <c r="J3">
        <f>D3*(F3/$C$18)*(G3/$F$18)*(H3/$D$18)*(I3/$E$18)</f>
        <v>31163.941445959968</v>
      </c>
    </row>
    <row r="4" spans="1:10" x14ac:dyDescent="0.35">
      <c r="A4" t="s">
        <v>368</v>
      </c>
      <c r="B4">
        <v>41.879689999999997</v>
      </c>
      <c r="C4">
        <v>-71.209005000000005</v>
      </c>
      <c r="D4">
        <v>576070</v>
      </c>
      <c r="E4" t="s">
        <v>362</v>
      </c>
      <c r="F4">
        <v>84198</v>
      </c>
      <c r="G4">
        <v>2</v>
      </c>
      <c r="H4">
        <v>39</v>
      </c>
      <c r="I4">
        <v>2</v>
      </c>
      <c r="J4">
        <f t="shared" ref="J4:J11" si="0">D4*(F4/$C$18)*(G4/$F$18)*(H4/$D$18)*(I4/$E$18)</f>
        <v>195582.71598114367</v>
      </c>
    </row>
    <row r="5" spans="1:10" x14ac:dyDescent="0.35">
      <c r="A5" t="s">
        <v>369</v>
      </c>
      <c r="B5">
        <v>41.408285714285718</v>
      </c>
      <c r="C5">
        <v>-70.704357142857148</v>
      </c>
      <c r="D5">
        <v>20277</v>
      </c>
      <c r="E5" t="s">
        <v>362</v>
      </c>
      <c r="F5">
        <v>102348</v>
      </c>
      <c r="G5">
        <v>1</v>
      </c>
      <c r="H5">
        <v>50</v>
      </c>
      <c r="I5">
        <v>3</v>
      </c>
      <c r="J5">
        <f t="shared" si="0"/>
        <v>8046.4285714285716</v>
      </c>
    </row>
    <row r="6" spans="1:10" x14ac:dyDescent="0.35">
      <c r="A6" t="s">
        <v>370</v>
      </c>
      <c r="B6">
        <v>42.651455882352941</v>
      </c>
      <c r="C6">
        <v>-70.968473529411767</v>
      </c>
      <c r="D6">
        <v>804598</v>
      </c>
      <c r="E6" t="s">
        <v>362</v>
      </c>
      <c r="F6">
        <v>99431</v>
      </c>
      <c r="G6">
        <v>2</v>
      </c>
      <c r="H6">
        <v>42</v>
      </c>
      <c r="I6">
        <v>3</v>
      </c>
      <c r="J6">
        <f t="shared" si="0"/>
        <v>521110.87491043622</v>
      </c>
    </row>
    <row r="7" spans="1:10" x14ac:dyDescent="0.35">
      <c r="A7" t="s">
        <v>374</v>
      </c>
      <c r="B7">
        <v>42.460727777777777</v>
      </c>
      <c r="C7">
        <v>-71.325398148148153</v>
      </c>
      <c r="D7">
        <v>1623411</v>
      </c>
      <c r="E7" t="s">
        <v>362</v>
      </c>
      <c r="F7">
        <v>126779</v>
      </c>
      <c r="G7">
        <v>2</v>
      </c>
      <c r="H7">
        <v>39</v>
      </c>
      <c r="I7">
        <v>4</v>
      </c>
      <c r="J7">
        <f t="shared" si="0"/>
        <v>1659813.2987901219</v>
      </c>
    </row>
    <row r="8" spans="1:10" x14ac:dyDescent="0.35">
      <c r="A8" t="s">
        <v>375</v>
      </c>
      <c r="B8">
        <v>41.283499999999997</v>
      </c>
      <c r="C8">
        <v>-70.099500000000006</v>
      </c>
      <c r="D8">
        <v>13795</v>
      </c>
      <c r="E8" t="s">
        <v>362</v>
      </c>
      <c r="F8">
        <v>119750</v>
      </c>
      <c r="G8">
        <v>1</v>
      </c>
      <c r="H8">
        <v>45</v>
      </c>
      <c r="I8">
        <v>3</v>
      </c>
      <c r="J8">
        <f t="shared" si="0"/>
        <v>5764.4759964602563</v>
      </c>
    </row>
    <row r="9" spans="1:10" x14ac:dyDescent="0.35">
      <c r="A9" t="s">
        <v>376</v>
      </c>
      <c r="B9">
        <v>42.18244285714286</v>
      </c>
      <c r="C9">
        <v>-71.196432142857148</v>
      </c>
      <c r="D9">
        <v>720403</v>
      </c>
      <c r="E9" t="s">
        <v>362</v>
      </c>
      <c r="F9">
        <v>126497</v>
      </c>
      <c r="G9">
        <v>2</v>
      </c>
      <c r="H9">
        <v>42</v>
      </c>
      <c r="I9">
        <v>4</v>
      </c>
      <c r="J9">
        <f t="shared" si="0"/>
        <v>791450.67843479535</v>
      </c>
    </row>
    <row r="10" spans="1:10" x14ac:dyDescent="0.35">
      <c r="A10" t="s">
        <v>377</v>
      </c>
      <c r="B10">
        <v>41.999281481481482</v>
      </c>
      <c r="C10">
        <v>-70.850918518518512</v>
      </c>
      <c r="D10">
        <v>527602</v>
      </c>
      <c r="E10" t="s">
        <v>362</v>
      </c>
      <c r="F10">
        <v>109698</v>
      </c>
      <c r="G10">
        <v>2</v>
      </c>
      <c r="H10">
        <v>44</v>
      </c>
      <c r="I10">
        <v>3</v>
      </c>
      <c r="J10">
        <f t="shared" si="0"/>
        <v>394946.17253925448</v>
      </c>
    </row>
    <row r="11" spans="1:10" x14ac:dyDescent="0.35">
      <c r="A11" t="s">
        <v>378</v>
      </c>
      <c r="B11">
        <v>42.383150000000001</v>
      </c>
      <c r="C11">
        <v>-71.028599999999997</v>
      </c>
      <c r="D11">
        <v>792647</v>
      </c>
      <c r="E11" t="s">
        <v>362</v>
      </c>
      <c r="F11">
        <v>92859</v>
      </c>
      <c r="G11">
        <v>3</v>
      </c>
      <c r="H11">
        <v>34</v>
      </c>
      <c r="I11">
        <v>4</v>
      </c>
      <c r="J11">
        <f t="shared" si="0"/>
        <v>776234.29317156971</v>
      </c>
    </row>
    <row r="12" spans="1:10" x14ac:dyDescent="0.35">
      <c r="A12" t="s">
        <v>367</v>
      </c>
      <c r="B12">
        <v>42.4022875</v>
      </c>
      <c r="C12">
        <v>-73.270909375000002</v>
      </c>
      <c r="D12">
        <v>129089</v>
      </c>
      <c r="E12" t="s">
        <v>364</v>
      </c>
      <c r="F12">
        <v>72565</v>
      </c>
      <c r="G12">
        <v>1</v>
      </c>
      <c r="H12">
        <v>47</v>
      </c>
      <c r="I12">
        <v>1</v>
      </c>
      <c r="J12">
        <f>D12*(F12/$C$19)*(G12/$F$19)*(H12/$D$19)*(I12/$E$19)</f>
        <v>141078.80943992274</v>
      </c>
    </row>
    <row r="13" spans="1:10" x14ac:dyDescent="0.35">
      <c r="A13" t="s">
        <v>371</v>
      </c>
      <c r="B13">
        <v>42.570376923076921</v>
      </c>
      <c r="C13">
        <v>-72.646642307692304</v>
      </c>
      <c r="D13">
        <v>71085</v>
      </c>
      <c r="E13" t="s">
        <v>364</v>
      </c>
      <c r="F13">
        <v>72584</v>
      </c>
      <c r="G13">
        <v>1</v>
      </c>
      <c r="H13">
        <v>47</v>
      </c>
      <c r="I13">
        <v>1</v>
      </c>
      <c r="J13">
        <f t="shared" ref="J13:J15" si="1">D13*(F13/$C$19)*(G13/$F$19)*(H13/$D$19)*(I13/$E$19)</f>
        <v>77707.728747700632</v>
      </c>
    </row>
    <row r="14" spans="1:10" x14ac:dyDescent="0.35">
      <c r="A14" t="s">
        <v>372</v>
      </c>
      <c r="B14">
        <v>42.117765217391309</v>
      </c>
      <c r="C14">
        <v>-72.61099130434782</v>
      </c>
      <c r="D14">
        <v>466265</v>
      </c>
      <c r="E14" t="s">
        <v>364</v>
      </c>
      <c r="F14">
        <v>70535</v>
      </c>
      <c r="G14">
        <v>1</v>
      </c>
      <c r="H14">
        <v>39</v>
      </c>
      <c r="I14">
        <v>2</v>
      </c>
      <c r="J14">
        <f t="shared" si="1"/>
        <v>822014.69586905639</v>
      </c>
    </row>
    <row r="15" spans="1:10" x14ac:dyDescent="0.35">
      <c r="A15" t="s">
        <v>373</v>
      </c>
      <c r="B15">
        <v>42.342489999999998</v>
      </c>
      <c r="C15">
        <v>-72.685040000000001</v>
      </c>
      <c r="D15">
        <v>161810</v>
      </c>
      <c r="E15" t="s">
        <v>364</v>
      </c>
      <c r="F15">
        <v>86391</v>
      </c>
      <c r="G15">
        <v>1</v>
      </c>
      <c r="H15">
        <v>37</v>
      </c>
      <c r="I15">
        <v>3</v>
      </c>
      <c r="J15">
        <f t="shared" si="1"/>
        <v>497215.12338804372</v>
      </c>
    </row>
    <row r="17" spans="1:7" x14ac:dyDescent="0.35">
      <c r="A17" t="s">
        <v>361</v>
      </c>
      <c r="B17" t="s">
        <v>381</v>
      </c>
      <c r="C17" t="s">
        <v>397</v>
      </c>
      <c r="D17" t="s">
        <v>395</v>
      </c>
      <c r="E17" t="s">
        <v>396</v>
      </c>
      <c r="F17" t="s">
        <v>393</v>
      </c>
      <c r="G17" t="s">
        <v>399</v>
      </c>
    </row>
    <row r="18" spans="1:7" x14ac:dyDescent="0.35">
      <c r="A18" t="s">
        <v>362</v>
      </c>
      <c r="B18">
        <f>SUM(D3:D11)</f>
        <v>5306745</v>
      </c>
      <c r="C18">
        <f>MEDIAN(F3:F11)</f>
        <v>102348</v>
      </c>
      <c r="D18">
        <f>MEDIAN(H3:H11)</f>
        <v>42</v>
      </c>
      <c r="E18">
        <f>_xlfn.MODE.SNGL(I3:I11)</f>
        <v>3</v>
      </c>
      <c r="F18">
        <f>MAX(G3:G11)</f>
        <v>3</v>
      </c>
      <c r="G18">
        <f>SUM(J3:J11)</f>
        <v>4384112.8798411703</v>
      </c>
    </row>
    <row r="19" spans="1:7" x14ac:dyDescent="0.35">
      <c r="A19" t="s">
        <v>364</v>
      </c>
      <c r="B19">
        <f>SUM(D12:D15)</f>
        <v>828249</v>
      </c>
      <c r="C19">
        <f>MEDIAN(F12:F15)</f>
        <v>72574.5</v>
      </c>
      <c r="D19">
        <f>MEDIAN(H12:H15)</f>
        <v>43</v>
      </c>
      <c r="E19">
        <f>_xlfn.MODE.SNGL(I12:I15)</f>
        <v>1</v>
      </c>
      <c r="F19">
        <f>MAX(G12:G15)</f>
        <v>1</v>
      </c>
      <c r="G19">
        <f>SUM(J12:J15)</f>
        <v>1538016.3574447236</v>
      </c>
    </row>
    <row r="20" spans="1:7" x14ac:dyDescent="0.35">
      <c r="A20" t="s">
        <v>363</v>
      </c>
      <c r="B20">
        <f>D2</f>
        <v>856858</v>
      </c>
      <c r="C20" s="5">
        <f>F2</f>
        <v>93561</v>
      </c>
      <c r="D20">
        <f>H2</f>
        <v>40</v>
      </c>
      <c r="E20">
        <f>I2</f>
        <v>3</v>
      </c>
      <c r="F20">
        <f>MAX(G2)</f>
        <v>3</v>
      </c>
      <c r="G20">
        <f>SUM(J2)</f>
        <v>856858</v>
      </c>
    </row>
    <row r="22" spans="1:7" x14ac:dyDescent="0.35">
      <c r="A22" t="s">
        <v>382</v>
      </c>
    </row>
    <row r="23" spans="1:7" x14ac:dyDescent="0.35">
      <c r="A23" t="s">
        <v>1</v>
      </c>
      <c r="B23" t="s">
        <v>2</v>
      </c>
      <c r="C23" t="s">
        <v>380</v>
      </c>
      <c r="D23" t="s">
        <v>399</v>
      </c>
      <c r="E23" t="s">
        <v>400</v>
      </c>
      <c r="F23" t="s">
        <v>401</v>
      </c>
    </row>
    <row r="24" spans="1:7" x14ac:dyDescent="0.35">
      <c r="A24" t="s">
        <v>366</v>
      </c>
      <c r="B24">
        <v>41.783733333333331</v>
      </c>
      <c r="C24">
        <v>-70.177093333333332</v>
      </c>
      <c r="D24">
        <v>31163.941445959968</v>
      </c>
      <c r="E24">
        <f>D24*B24</f>
        <v>1302145.8189936057</v>
      </c>
      <c r="F24">
        <f>D24*C24</f>
        <v>-2186994.8274876676</v>
      </c>
    </row>
    <row r="25" spans="1:7" x14ac:dyDescent="0.35">
      <c r="A25" t="s">
        <v>368</v>
      </c>
      <c r="B25">
        <v>41.879689999999997</v>
      </c>
      <c r="C25">
        <v>-71.209005000000005</v>
      </c>
      <c r="D25">
        <v>195582.71598114367</v>
      </c>
      <c r="E25">
        <f t="shared" ref="E25:E32" si="2">D25*B25</f>
        <v>8190943.5146483425</v>
      </c>
      <c r="F25">
        <f t="shared" ref="F25:F32" si="3">D25*C25</f>
        <v>-13927250.600214841</v>
      </c>
    </row>
    <row r="26" spans="1:7" x14ac:dyDescent="0.35">
      <c r="A26" t="s">
        <v>369</v>
      </c>
      <c r="B26">
        <v>41.408285714285718</v>
      </c>
      <c r="C26">
        <v>-70.704357142857148</v>
      </c>
      <c r="D26">
        <v>8046.4285714285716</v>
      </c>
      <c r="E26">
        <f t="shared" si="2"/>
        <v>333188.81326530618</v>
      </c>
      <c r="F26">
        <f t="shared" si="3"/>
        <v>-568917.55943877553</v>
      </c>
    </row>
    <row r="27" spans="1:7" x14ac:dyDescent="0.35">
      <c r="A27" t="s">
        <v>370</v>
      </c>
      <c r="B27">
        <v>42.651455882352941</v>
      </c>
      <c r="C27">
        <v>-70.968473529411767</v>
      </c>
      <c r="D27">
        <v>521110.87491043622</v>
      </c>
      <c r="E27">
        <f t="shared" si="2"/>
        <v>22226137.491056811</v>
      </c>
      <c r="F27">
        <f t="shared" si="3"/>
        <v>-36982443.331969902</v>
      </c>
    </row>
    <row r="28" spans="1:7" x14ac:dyDescent="0.35">
      <c r="A28" t="s">
        <v>374</v>
      </c>
      <c r="B28">
        <v>42.460727777777777</v>
      </c>
      <c r="C28">
        <v>-71.325398148148153</v>
      </c>
      <c r="D28">
        <v>1659813.2987901219</v>
      </c>
      <c r="E28">
        <f t="shared" si="2"/>
        <v>70476880.64186269</v>
      </c>
      <c r="F28">
        <f t="shared" si="3"/>
        <v>-118386844.38779664</v>
      </c>
    </row>
    <row r="29" spans="1:7" x14ac:dyDescent="0.35">
      <c r="A29" t="s">
        <v>375</v>
      </c>
      <c r="B29">
        <v>41.283499999999997</v>
      </c>
      <c r="C29">
        <v>-70.099500000000006</v>
      </c>
      <c r="D29">
        <v>5764.4759964602563</v>
      </c>
      <c r="E29">
        <f t="shared" si="2"/>
        <v>237977.74479986698</v>
      </c>
      <c r="F29">
        <f t="shared" si="3"/>
        <v>-404086.88511386578</v>
      </c>
    </row>
    <row r="30" spans="1:7" x14ac:dyDescent="0.35">
      <c r="A30" t="s">
        <v>376</v>
      </c>
      <c r="B30">
        <v>42.18244285714286</v>
      </c>
      <c r="C30">
        <v>-71.196432142857148</v>
      </c>
      <c r="D30">
        <v>791450.67843479535</v>
      </c>
      <c r="E30">
        <f t="shared" si="2"/>
        <v>33385323.017322704</v>
      </c>
      <c r="F30">
        <f t="shared" si="3"/>
        <v>-56348464.521601163</v>
      </c>
    </row>
    <row r="31" spans="1:7" x14ac:dyDescent="0.35">
      <c r="A31" t="s">
        <v>377</v>
      </c>
      <c r="B31">
        <v>41.999281481481482</v>
      </c>
      <c r="C31">
        <v>-70.850918518518512</v>
      </c>
      <c r="D31">
        <v>394946.17253925448</v>
      </c>
      <c r="E31">
        <f t="shared" si="2"/>
        <v>16587455.470509902</v>
      </c>
      <c r="F31">
        <f t="shared" si="3"/>
        <v>-27982299.089779474</v>
      </c>
    </row>
    <row r="32" spans="1:7" x14ac:dyDescent="0.35">
      <c r="A32" t="s">
        <v>378</v>
      </c>
      <c r="B32">
        <v>42.383150000000001</v>
      </c>
      <c r="C32">
        <v>-71.028599999999997</v>
      </c>
      <c r="D32">
        <v>776234.29317156971</v>
      </c>
      <c r="E32">
        <f t="shared" si="2"/>
        <v>32899254.482634615</v>
      </c>
      <c r="F32">
        <f t="shared" si="3"/>
        <v>-55134835.115966156</v>
      </c>
    </row>
    <row r="33" spans="1:6" x14ac:dyDescent="0.35">
      <c r="E33">
        <f>SUM(E24:E32)</f>
        <v>185639306.99509382</v>
      </c>
      <c r="F33">
        <f>SUM(F24:F32)</f>
        <v>-311922136.31936848</v>
      </c>
    </row>
    <row r="35" spans="1:6" x14ac:dyDescent="0.35">
      <c r="B35" t="s">
        <v>383</v>
      </c>
      <c r="C35">
        <f>E33/G18</f>
        <v>42.343642165030033</v>
      </c>
    </row>
    <row r="36" spans="1:6" x14ac:dyDescent="0.35">
      <c r="B36" t="s">
        <v>384</v>
      </c>
      <c r="C36">
        <f>F33/G18</f>
        <v>-71.148290399554895</v>
      </c>
    </row>
    <row r="38" spans="1:6" ht="14.25" customHeight="1" x14ac:dyDescent="0.35">
      <c r="A38" s="4"/>
      <c r="B38" s="4"/>
      <c r="C38" s="4"/>
      <c r="D38" s="4"/>
      <c r="E38" s="4"/>
      <c r="F38" s="4"/>
    </row>
    <row r="39" spans="1:6" x14ac:dyDescent="0.35">
      <c r="A39" s="4"/>
      <c r="B39" s="4" t="s">
        <v>403</v>
      </c>
      <c r="C39" s="4"/>
      <c r="D39" s="4"/>
      <c r="E39" s="4"/>
      <c r="F39" s="4"/>
    </row>
    <row r="40" spans="1:6" x14ac:dyDescent="0.35">
      <c r="A40" s="4"/>
      <c r="B40" s="4"/>
      <c r="C40" s="4"/>
      <c r="D40" s="4"/>
      <c r="E40" s="4"/>
      <c r="F40" s="4"/>
    </row>
    <row r="41" spans="1:6" x14ac:dyDescent="0.35">
      <c r="A41" t="s">
        <v>385</v>
      </c>
      <c r="B41" s="3"/>
      <c r="C41" s="3"/>
      <c r="D41" s="3"/>
      <c r="E41" s="3"/>
    </row>
    <row r="42" spans="1:6" x14ac:dyDescent="0.35">
      <c r="A42" t="s">
        <v>1</v>
      </c>
      <c r="B42" t="s">
        <v>2</v>
      </c>
      <c r="C42" t="s">
        <v>380</v>
      </c>
      <c r="D42" t="s">
        <v>399</v>
      </c>
      <c r="E42" t="s">
        <v>402</v>
      </c>
      <c r="F42" t="s">
        <v>401</v>
      </c>
    </row>
    <row r="43" spans="1:6" x14ac:dyDescent="0.35">
      <c r="A43" t="s">
        <v>367</v>
      </c>
      <c r="B43">
        <v>42.4022875</v>
      </c>
      <c r="C43">
        <v>-73.270909375000002</v>
      </c>
      <c r="D43">
        <v>141078.80943992274</v>
      </c>
      <c r="E43">
        <f>D43*B43</f>
        <v>5982064.2380293179</v>
      </c>
      <c r="F43">
        <f>D43*C43</f>
        <v>-10336972.661205474</v>
      </c>
    </row>
    <row r="44" spans="1:6" x14ac:dyDescent="0.35">
      <c r="A44" t="s">
        <v>371</v>
      </c>
      <c r="B44">
        <v>42.570376923076921</v>
      </c>
      <c r="C44">
        <v>-72.646642307692304</v>
      </c>
      <c r="D44">
        <v>77707.728747700632</v>
      </c>
      <c r="E44">
        <f t="shared" ref="E44:E46" si="4">D44*B44</f>
        <v>3308047.3026258359</v>
      </c>
      <c r="F44">
        <f t="shared" ref="F44:F46" si="5">D44*C44</f>
        <v>-5645205.574877386</v>
      </c>
    </row>
    <row r="45" spans="1:6" x14ac:dyDescent="0.35">
      <c r="A45" t="s">
        <v>372</v>
      </c>
      <c r="B45">
        <v>42.117765217391309</v>
      </c>
      <c r="C45">
        <v>-72.61099130434782</v>
      </c>
      <c r="D45">
        <v>822014.69586905639</v>
      </c>
      <c r="E45">
        <f t="shared" si="4"/>
        <v>34621421.965858236</v>
      </c>
      <c r="F45">
        <f t="shared" si="5"/>
        <v>-59687301.933794171</v>
      </c>
    </row>
    <row r="46" spans="1:6" x14ac:dyDescent="0.35">
      <c r="A46" t="s">
        <v>373</v>
      </c>
      <c r="B46">
        <v>42.342489999999998</v>
      </c>
      <c r="C46">
        <v>-72.685040000000001</v>
      </c>
      <c r="D46">
        <v>497215.12338804372</v>
      </c>
      <c r="E46">
        <f t="shared" si="4"/>
        <v>21053326.389907006</v>
      </c>
      <c r="F46">
        <f t="shared" si="5"/>
        <v>-36140101.132064894</v>
      </c>
    </row>
    <row r="47" spans="1:6" x14ac:dyDescent="0.35">
      <c r="E47">
        <f>SUM(E43:E46)</f>
        <v>64964859.896420389</v>
      </c>
      <c r="F47">
        <f>SUM(F43:F46)</f>
        <v>-111809581.30194192</v>
      </c>
    </row>
    <row r="49" spans="1:6" x14ac:dyDescent="0.35">
      <c r="C49" t="s">
        <v>386</v>
      </c>
      <c r="D49">
        <f>E47/G19</f>
        <v>42.239381643738618</v>
      </c>
    </row>
    <row r="50" spans="1:6" x14ac:dyDescent="0.35">
      <c r="C50" t="s">
        <v>387</v>
      </c>
      <c r="D50">
        <f>F47/G19</f>
        <v>-72.697264083526079</v>
      </c>
    </row>
    <row r="52" spans="1:6" x14ac:dyDescent="0.35">
      <c r="A52" s="4"/>
      <c r="B52" s="4"/>
      <c r="C52" s="4"/>
      <c r="D52" s="4"/>
      <c r="E52" s="4"/>
      <c r="F52" s="4"/>
    </row>
    <row r="53" spans="1:6" x14ac:dyDescent="0.35">
      <c r="A53" s="4"/>
      <c r="B53" s="4"/>
      <c r="C53" s="4"/>
      <c r="D53" s="4"/>
      <c r="E53" s="4"/>
      <c r="F53" s="4"/>
    </row>
    <row r="54" spans="1:6" x14ac:dyDescent="0.35">
      <c r="A54" s="4"/>
      <c r="B54" s="4" t="s">
        <v>404</v>
      </c>
      <c r="C54" s="4"/>
      <c r="D54" s="4"/>
      <c r="E54" s="4"/>
      <c r="F54" s="4"/>
    </row>
    <row r="55" spans="1:6" x14ac:dyDescent="0.35">
      <c r="A55" s="4"/>
      <c r="B55" s="4"/>
      <c r="C55" s="4" t="s">
        <v>177</v>
      </c>
      <c r="D55" s="4"/>
      <c r="E55" s="4"/>
      <c r="F55" s="4"/>
    </row>
    <row r="56" spans="1:6" x14ac:dyDescent="0.35">
      <c r="A56" s="4"/>
      <c r="B56" s="4"/>
      <c r="C56" s="4"/>
      <c r="D56" s="4"/>
      <c r="E56" s="4"/>
      <c r="F56" s="4"/>
    </row>
    <row r="58" spans="1:6" x14ac:dyDescent="0.35">
      <c r="A58" t="s">
        <v>388</v>
      </c>
    </row>
    <row r="59" spans="1:6" x14ac:dyDescent="0.35">
      <c r="A59" t="s">
        <v>1</v>
      </c>
      <c r="B59" t="s">
        <v>2</v>
      </c>
      <c r="C59" t="s">
        <v>380</v>
      </c>
      <c r="D59" t="s">
        <v>399</v>
      </c>
      <c r="E59" t="s">
        <v>402</v>
      </c>
      <c r="F59" t="s">
        <v>401</v>
      </c>
    </row>
    <row r="60" spans="1:6" x14ac:dyDescent="0.35">
      <c r="A60" t="s">
        <v>379</v>
      </c>
      <c r="B60">
        <v>42.318058333333333</v>
      </c>
      <c r="C60">
        <v>-71.840493333333342</v>
      </c>
      <c r="D60">
        <v>856858</v>
      </c>
      <c r="E60">
        <f>D60*B60</f>
        <v>36260566.827383332</v>
      </c>
      <c r="F60">
        <f>D60*C60</f>
        <v>-61557101.436613344</v>
      </c>
    </row>
    <row r="64" spans="1:6" x14ac:dyDescent="0.35">
      <c r="C64" t="s">
        <v>383</v>
      </c>
      <c r="D64">
        <f>E60/G20</f>
        <v>42.318058333333333</v>
      </c>
    </row>
    <row r="65" spans="3:4" x14ac:dyDescent="0.35">
      <c r="C65" t="s">
        <v>384</v>
      </c>
      <c r="D65">
        <f>F60/G20</f>
        <v>-71.840493333333342</v>
      </c>
    </row>
  </sheetData>
  <autoFilter ref="A1:I15" xr:uid="{B2EC394C-4BFE-4EF5-96D7-C349A6A818CD}"/>
  <pageMargins left="0.7" right="0.7" top="0.75" bottom="0.75" header="0.3" footer="0.3"/>
  <ignoredErrors>
    <ignoredError sqref="B18:B19 C18:E1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811B-A4E7-45EC-94DF-5F04CD2E784D}">
  <sheetPr filterMode="1"/>
  <dimension ref="A2:O199"/>
  <sheetViews>
    <sheetView zoomScale="60" zoomScaleNormal="60" workbookViewId="0">
      <selection activeCell="G205" sqref="G205"/>
    </sheetView>
  </sheetViews>
  <sheetFormatPr defaultRowHeight="14.5" x14ac:dyDescent="0.35"/>
  <cols>
    <col min="1" max="1" width="19.6328125" bestFit="1" customWidth="1"/>
    <col min="2" max="2" width="11.7265625" bestFit="1" customWidth="1"/>
    <col min="6" max="6" width="19.6328125" bestFit="1" customWidth="1"/>
    <col min="7" max="7" width="22.90625" bestFit="1" customWidth="1"/>
    <col min="8" max="8" width="19.36328125" bestFit="1" customWidth="1"/>
    <col min="9" max="9" width="20.81640625" bestFit="1" customWidth="1"/>
    <col min="10" max="10" width="25.90625" bestFit="1" customWidth="1"/>
    <col min="11" max="11" width="17.6328125" bestFit="1" customWidth="1"/>
  </cols>
  <sheetData>
    <row r="2" spans="1:15" x14ac:dyDescent="0.35">
      <c r="A2" t="s">
        <v>391</v>
      </c>
      <c r="B2" t="s">
        <v>219</v>
      </c>
      <c r="C2">
        <v>42.343642165030033</v>
      </c>
      <c r="D2">
        <v>-71.148290399554895</v>
      </c>
      <c r="F2" t="s">
        <v>416</v>
      </c>
      <c r="G2" t="s">
        <v>405</v>
      </c>
      <c r="H2" t="s">
        <v>408</v>
      </c>
      <c r="I2" t="s">
        <v>409</v>
      </c>
    </row>
    <row r="3" spans="1:15" x14ac:dyDescent="0.35">
      <c r="G3" t="s">
        <v>406</v>
      </c>
      <c r="H3">
        <v>111</v>
      </c>
    </row>
    <row r="4" spans="1:15" x14ac:dyDescent="0.35">
      <c r="G4" t="s">
        <v>407</v>
      </c>
      <c r="H4">
        <v>82.5</v>
      </c>
    </row>
    <row r="6" spans="1:15" x14ac:dyDescent="0.35">
      <c r="A6" t="s">
        <v>362</v>
      </c>
    </row>
    <row r="7" spans="1:15" x14ac:dyDescent="0.35">
      <c r="A7" s="1" t="s">
        <v>0</v>
      </c>
      <c r="B7" s="1" t="s">
        <v>389</v>
      </c>
      <c r="C7" s="1" t="s">
        <v>2</v>
      </c>
      <c r="D7" s="1" t="s">
        <v>3</v>
      </c>
      <c r="E7" s="2" t="s">
        <v>365</v>
      </c>
      <c r="F7" s="2" t="s">
        <v>410</v>
      </c>
      <c r="G7" s="2" t="s">
        <v>411</v>
      </c>
      <c r="H7" s="2" t="s">
        <v>412</v>
      </c>
      <c r="I7" s="2" t="s">
        <v>413</v>
      </c>
      <c r="J7" s="2" t="s">
        <v>414</v>
      </c>
      <c r="K7" t="s">
        <v>415</v>
      </c>
      <c r="L7" s="8" t="s">
        <v>427</v>
      </c>
      <c r="M7" s="8" t="s">
        <v>428</v>
      </c>
    </row>
    <row r="8" spans="1:15" hidden="1" x14ac:dyDescent="0.35">
      <c r="A8" t="s">
        <v>269</v>
      </c>
      <c r="B8" t="s">
        <v>270</v>
      </c>
      <c r="C8">
        <v>42.116700000000002</v>
      </c>
      <c r="D8">
        <v>-71.0167</v>
      </c>
      <c r="E8">
        <v>17090</v>
      </c>
      <c r="F8">
        <f>C8-$C$2</f>
        <v>-0.22694216503003162</v>
      </c>
      <c r="G8">
        <f>D8-$D$2</f>
        <v>0.13159039955489504</v>
      </c>
      <c r="H8">
        <f>111*F8</f>
        <v>-25.19058031833351</v>
      </c>
      <c r="I8">
        <f>G8*82.5</f>
        <v>10.856207963278841</v>
      </c>
      <c r="J8">
        <f>SQRT(H8^2+I8^2)</f>
        <v>27.43032242093356</v>
      </c>
      <c r="K8" t="str">
        <f>IF(J8&lt;=15,"Yes","No")</f>
        <v>No</v>
      </c>
      <c r="L8" t="str">
        <f>IF(J8&lt;=5,"Yes","No")</f>
        <v>No</v>
      </c>
      <c r="M8" t="str">
        <f>IF(J8&lt;=10,"Yes","no")</f>
        <v>no</v>
      </c>
    </row>
    <row r="9" spans="1:15" hidden="1" x14ac:dyDescent="0.35">
      <c r="A9" t="s">
        <v>186</v>
      </c>
      <c r="B9" t="s">
        <v>187</v>
      </c>
      <c r="C9">
        <v>42.462800000000001</v>
      </c>
      <c r="D9">
        <v>-71.463200000000001</v>
      </c>
      <c r="E9">
        <v>24539</v>
      </c>
      <c r="F9">
        <f t="shared" ref="F9:F72" si="0">C9-$C$2</f>
        <v>0.11915783496996823</v>
      </c>
      <c r="G9">
        <f t="shared" ref="G9:G72" si="1">D9-$D$2</f>
        <v>-0.3149096004451053</v>
      </c>
      <c r="H9">
        <f t="shared" ref="H9:H72" si="2">111*F9</f>
        <v>13.226519681666474</v>
      </c>
      <c r="I9">
        <f t="shared" ref="I9:I72" si="3">G9*82.5</f>
        <v>-25.980042036721187</v>
      </c>
      <c r="J9">
        <f t="shared" ref="J9:J72" si="4">SQRT(H9^2+I9^2)</f>
        <v>29.153102872924361</v>
      </c>
      <c r="K9" t="str">
        <f t="shared" ref="K9:K72" si="5">IF(J9&lt;=15,"Yes","No")</f>
        <v>No</v>
      </c>
      <c r="L9" t="str">
        <f t="shared" ref="L9:L72" si="6">IF(J9&lt;=5,"Yes","No")</f>
        <v>No</v>
      </c>
      <c r="M9" t="str">
        <f t="shared" ref="M9:M72" si="7">IF(J9&lt;=10,"Yes","no")</f>
        <v>no</v>
      </c>
    </row>
    <row r="10" spans="1:15" hidden="1" x14ac:dyDescent="0.35">
      <c r="A10" t="s">
        <v>52</v>
      </c>
      <c r="B10" t="s">
        <v>53</v>
      </c>
      <c r="C10">
        <v>41.666699999999999</v>
      </c>
      <c r="D10">
        <v>-71.183300000000003</v>
      </c>
      <c r="E10">
        <v>10700</v>
      </c>
      <c r="F10">
        <f t="shared" si="0"/>
        <v>-0.67694216503003446</v>
      </c>
      <c r="G10">
        <f t="shared" si="1"/>
        <v>-3.500960044510748E-2</v>
      </c>
      <c r="H10">
        <f t="shared" si="2"/>
        <v>-75.140580318333832</v>
      </c>
      <c r="I10">
        <f t="shared" si="3"/>
        <v>-2.8882920367213671</v>
      </c>
      <c r="J10">
        <f t="shared" si="4"/>
        <v>75.196070651765879</v>
      </c>
      <c r="K10" t="str">
        <f t="shared" si="5"/>
        <v>No</v>
      </c>
      <c r="L10" t="str">
        <f t="shared" si="6"/>
        <v>No</v>
      </c>
      <c r="M10" t="str">
        <f t="shared" si="7"/>
        <v>no</v>
      </c>
    </row>
    <row r="11" spans="1:15" hidden="1" x14ac:dyDescent="0.35">
      <c r="A11" t="s">
        <v>81</v>
      </c>
      <c r="B11" t="s">
        <v>82</v>
      </c>
      <c r="C11">
        <v>42.866700000000002</v>
      </c>
      <c r="D11">
        <v>-71.183300000000003</v>
      </c>
      <c r="E11">
        <v>17277</v>
      </c>
      <c r="F11">
        <f t="shared" si="0"/>
        <v>0.52305783496996838</v>
      </c>
      <c r="G11">
        <f t="shared" si="1"/>
        <v>-3.500960044510748E-2</v>
      </c>
      <c r="H11">
        <f t="shared" si="2"/>
        <v>58.05941968166649</v>
      </c>
      <c r="I11">
        <f t="shared" si="3"/>
        <v>-2.8882920367213671</v>
      </c>
      <c r="J11">
        <f t="shared" si="4"/>
        <v>58.131217471004945</v>
      </c>
      <c r="K11" t="str">
        <f t="shared" si="5"/>
        <v>No</v>
      </c>
      <c r="L11" t="str">
        <f t="shared" si="6"/>
        <v>No</v>
      </c>
      <c r="M11" t="str">
        <f t="shared" si="7"/>
        <v>no</v>
      </c>
    </row>
    <row r="12" spans="1:15" hidden="1" x14ac:dyDescent="0.35">
      <c r="A12" t="s">
        <v>83</v>
      </c>
      <c r="B12" t="s">
        <v>82</v>
      </c>
      <c r="C12">
        <v>42.658499999999997</v>
      </c>
      <c r="D12">
        <v>-71.1447</v>
      </c>
      <c r="E12">
        <v>36927</v>
      </c>
      <c r="F12">
        <f t="shared" si="0"/>
        <v>0.31485783496996333</v>
      </c>
      <c r="G12">
        <f t="shared" si="1"/>
        <v>3.5903995548949297E-3</v>
      </c>
      <c r="H12">
        <f t="shared" si="2"/>
        <v>34.94921968166593</v>
      </c>
      <c r="I12">
        <f t="shared" si="3"/>
        <v>0.2962079632788317</v>
      </c>
      <c r="J12">
        <f t="shared" si="4"/>
        <v>34.950474896843033</v>
      </c>
      <c r="K12" t="str">
        <f t="shared" si="5"/>
        <v>No</v>
      </c>
      <c r="L12" t="str">
        <f t="shared" si="6"/>
        <v>No</v>
      </c>
      <c r="M12" t="str">
        <f t="shared" si="7"/>
        <v>no</v>
      </c>
    </row>
    <row r="13" spans="1:15" hidden="1" x14ac:dyDescent="0.35">
      <c r="A13" t="s">
        <v>73</v>
      </c>
      <c r="B13" t="s">
        <v>74</v>
      </c>
      <c r="C13">
        <v>41.35</v>
      </c>
      <c r="D13">
        <v>-70.816699999999997</v>
      </c>
      <c r="E13">
        <v>451</v>
      </c>
      <c r="F13">
        <f t="shared" si="0"/>
        <v>-0.99364216503003178</v>
      </c>
      <c r="G13">
        <f t="shared" si="1"/>
        <v>0.33159039955489789</v>
      </c>
      <c r="H13">
        <f t="shared" si="2"/>
        <v>-110.29428031833353</v>
      </c>
      <c r="I13">
        <f t="shared" si="3"/>
        <v>27.356207963279076</v>
      </c>
      <c r="J13">
        <f t="shared" si="4"/>
        <v>113.63621951239539</v>
      </c>
      <c r="K13" t="str">
        <f t="shared" si="5"/>
        <v>No</v>
      </c>
      <c r="L13" t="str">
        <f t="shared" si="6"/>
        <v>No</v>
      </c>
      <c r="M13" t="str">
        <f t="shared" si="7"/>
        <v>no</v>
      </c>
      <c r="O13">
        <f>SUMIFS(E8:E197,L8:L197,"Yes")</f>
        <v>220381</v>
      </c>
    </row>
    <row r="14" spans="1:15" x14ac:dyDescent="0.35">
      <c r="A14" t="s">
        <v>188</v>
      </c>
      <c r="B14" t="s">
        <v>187</v>
      </c>
      <c r="C14">
        <v>42.414999999999999</v>
      </c>
      <c r="D14">
        <v>-71.159400000000005</v>
      </c>
      <c r="E14">
        <v>47112</v>
      </c>
      <c r="F14">
        <f t="shared" si="0"/>
        <v>7.135783496996595E-2</v>
      </c>
      <c r="G14">
        <f t="shared" si="1"/>
        <v>-1.1109600445109891E-2</v>
      </c>
      <c r="H14">
        <f t="shared" si="2"/>
        <v>7.9207196816662204</v>
      </c>
      <c r="I14">
        <f t="shared" si="3"/>
        <v>-0.91654203672156598</v>
      </c>
      <c r="J14">
        <f t="shared" si="4"/>
        <v>7.9735719461614156</v>
      </c>
      <c r="K14" t="str">
        <f t="shared" si="5"/>
        <v>Yes</v>
      </c>
      <c r="L14" t="str">
        <f t="shared" si="6"/>
        <v>No</v>
      </c>
      <c r="M14" t="str">
        <f t="shared" si="7"/>
        <v>Yes</v>
      </c>
      <c r="O14">
        <f>SUMIFS(E9:E198,M9:M198,"yes")</f>
        <v>1299920</v>
      </c>
    </row>
    <row r="15" spans="1:15" hidden="1" x14ac:dyDescent="0.35">
      <c r="A15" t="s">
        <v>189</v>
      </c>
      <c r="B15" t="s">
        <v>187</v>
      </c>
      <c r="C15">
        <v>42.683300000000003</v>
      </c>
      <c r="D15">
        <v>-71.5</v>
      </c>
      <c r="E15">
        <v>3270</v>
      </c>
      <c r="F15">
        <f t="shared" si="0"/>
        <v>0.33965783496996949</v>
      </c>
      <c r="G15">
        <f t="shared" si="1"/>
        <v>-0.3517096004451048</v>
      </c>
      <c r="H15">
        <f t="shared" si="2"/>
        <v>37.702019681666613</v>
      </c>
      <c r="I15">
        <f t="shared" si="3"/>
        <v>-29.016042036721146</v>
      </c>
      <c r="J15">
        <f t="shared" si="4"/>
        <v>47.574919690458174</v>
      </c>
      <c r="K15" t="str">
        <f t="shared" si="5"/>
        <v>No</v>
      </c>
      <c r="L15" t="str">
        <f t="shared" si="6"/>
        <v>No</v>
      </c>
      <c r="M15" t="str">
        <f t="shared" si="7"/>
        <v>no</v>
      </c>
    </row>
    <row r="16" spans="1:15" hidden="1" x14ac:dyDescent="0.35">
      <c r="A16" t="s">
        <v>190</v>
      </c>
      <c r="B16" t="s">
        <v>187</v>
      </c>
      <c r="C16">
        <v>42.2333</v>
      </c>
      <c r="D16">
        <v>-71.466700000000003</v>
      </c>
      <c r="E16">
        <v>19391</v>
      </c>
      <c r="F16">
        <f t="shared" si="0"/>
        <v>-0.11034216503003336</v>
      </c>
      <c r="G16">
        <f t="shared" si="1"/>
        <v>-0.3184096004451078</v>
      </c>
      <c r="H16">
        <f t="shared" si="2"/>
        <v>-12.247980318333703</v>
      </c>
      <c r="I16">
        <f t="shared" si="3"/>
        <v>-26.268792036721393</v>
      </c>
      <c r="J16">
        <f t="shared" si="4"/>
        <v>28.98383095704926</v>
      </c>
      <c r="K16" t="str">
        <f t="shared" si="5"/>
        <v>No</v>
      </c>
      <c r="L16" t="str">
        <f t="shared" si="6"/>
        <v>No</v>
      </c>
      <c r="M16" t="str">
        <f t="shared" si="7"/>
        <v>no</v>
      </c>
    </row>
    <row r="17" spans="1:13" hidden="1" x14ac:dyDescent="0.35">
      <c r="A17" t="s">
        <v>54</v>
      </c>
      <c r="B17" t="s">
        <v>53</v>
      </c>
      <c r="C17">
        <v>41.943600000000004</v>
      </c>
      <c r="D17">
        <v>-71.288799999999995</v>
      </c>
      <c r="E17">
        <v>47085</v>
      </c>
      <c r="F17">
        <f t="shared" si="0"/>
        <v>-0.40004216503002965</v>
      </c>
      <c r="G17">
        <f t="shared" si="1"/>
        <v>-0.14050960044509964</v>
      </c>
      <c r="H17">
        <f t="shared" si="2"/>
        <v>-44.404680318333291</v>
      </c>
      <c r="I17">
        <f t="shared" si="3"/>
        <v>-11.59204203672072</v>
      </c>
      <c r="J17">
        <f t="shared" si="4"/>
        <v>45.892821581969393</v>
      </c>
      <c r="K17" t="str">
        <f t="shared" si="5"/>
        <v>No</v>
      </c>
      <c r="L17" t="str">
        <f t="shared" si="6"/>
        <v>No</v>
      </c>
      <c r="M17" t="str">
        <f t="shared" si="7"/>
        <v>no</v>
      </c>
    </row>
    <row r="18" spans="1:13" hidden="1" x14ac:dyDescent="0.35">
      <c r="A18" t="s">
        <v>242</v>
      </c>
      <c r="B18" t="s">
        <v>243</v>
      </c>
      <c r="C18">
        <v>42.216700000000003</v>
      </c>
      <c r="D18">
        <v>-71.033299999999997</v>
      </c>
      <c r="E18">
        <v>4801</v>
      </c>
      <c r="F18">
        <f t="shared" si="0"/>
        <v>-0.1269421650300302</v>
      </c>
      <c r="G18">
        <f t="shared" si="1"/>
        <v>0.1149903995548982</v>
      </c>
      <c r="H18">
        <f t="shared" si="2"/>
        <v>-14.090580318333352</v>
      </c>
      <c r="I18">
        <f t="shared" si="3"/>
        <v>9.4867079632791018</v>
      </c>
      <c r="J18">
        <f t="shared" si="4"/>
        <v>16.986526475060941</v>
      </c>
      <c r="K18" t="str">
        <f t="shared" si="5"/>
        <v>No</v>
      </c>
      <c r="L18" t="str">
        <f t="shared" si="6"/>
        <v>No</v>
      </c>
      <c r="M18" t="str">
        <f t="shared" si="7"/>
        <v>no</v>
      </c>
    </row>
    <row r="19" spans="1:13" hidden="1" x14ac:dyDescent="0.35">
      <c r="A19" t="s">
        <v>191</v>
      </c>
      <c r="B19" t="s">
        <v>187</v>
      </c>
      <c r="C19">
        <v>42.566699999999997</v>
      </c>
      <c r="D19">
        <v>-71.55</v>
      </c>
      <c r="E19">
        <v>9010</v>
      </c>
      <c r="F19">
        <f t="shared" si="0"/>
        <v>0.22305783496996412</v>
      </c>
      <c r="G19">
        <f t="shared" si="1"/>
        <v>-0.40170960044510196</v>
      </c>
      <c r="H19">
        <f t="shared" si="2"/>
        <v>24.759419681666017</v>
      </c>
      <c r="I19">
        <f t="shared" si="3"/>
        <v>-33.141042036720911</v>
      </c>
      <c r="J19">
        <f t="shared" si="4"/>
        <v>41.368557265785491</v>
      </c>
      <c r="K19" t="str">
        <f t="shared" si="5"/>
        <v>No</v>
      </c>
      <c r="L19" t="str">
        <f t="shared" si="6"/>
        <v>No</v>
      </c>
      <c r="M19" t="str">
        <f t="shared" si="7"/>
        <v>no</v>
      </c>
    </row>
    <row r="20" spans="1:13" hidden="1" x14ac:dyDescent="0.35">
      <c r="A20" t="s">
        <v>4</v>
      </c>
      <c r="B20" t="s">
        <v>4</v>
      </c>
      <c r="C20">
        <v>41.700099999999999</v>
      </c>
      <c r="D20">
        <v>-70.300600000000003</v>
      </c>
      <c r="E20">
        <v>49831</v>
      </c>
      <c r="F20">
        <f t="shared" si="0"/>
        <v>-0.64354216503003414</v>
      </c>
      <c r="G20">
        <f t="shared" si="1"/>
        <v>0.84769039955489234</v>
      </c>
      <c r="H20">
        <f t="shared" si="2"/>
        <v>-71.433180318333797</v>
      </c>
      <c r="I20">
        <f t="shared" si="3"/>
        <v>69.934457963278618</v>
      </c>
      <c r="J20">
        <f t="shared" si="4"/>
        <v>99.967633066954107</v>
      </c>
      <c r="K20" t="str">
        <f t="shared" si="5"/>
        <v>No</v>
      </c>
      <c r="L20" t="str">
        <f t="shared" si="6"/>
        <v>No</v>
      </c>
      <c r="M20" t="str">
        <f t="shared" si="7"/>
        <v>no</v>
      </c>
    </row>
    <row r="21" spans="1:13" hidden="1" x14ac:dyDescent="0.35">
      <c r="A21" t="s">
        <v>192</v>
      </c>
      <c r="B21" t="s">
        <v>187</v>
      </c>
      <c r="C21">
        <v>42.491700000000002</v>
      </c>
      <c r="D21">
        <v>-71.2667</v>
      </c>
      <c r="E21">
        <v>14955</v>
      </c>
      <c r="F21">
        <f t="shared" si="0"/>
        <v>0.14805783496996838</v>
      </c>
      <c r="G21">
        <f t="shared" si="1"/>
        <v>-0.11840960044510496</v>
      </c>
      <c r="H21">
        <f t="shared" si="2"/>
        <v>16.43441968166649</v>
      </c>
      <c r="I21">
        <f t="shared" si="3"/>
        <v>-9.7687920367211589</v>
      </c>
      <c r="J21">
        <f t="shared" si="4"/>
        <v>19.11856292010081</v>
      </c>
      <c r="K21" t="str">
        <f t="shared" si="5"/>
        <v>No</v>
      </c>
      <c r="L21" t="str">
        <f t="shared" si="6"/>
        <v>No</v>
      </c>
      <c r="M21" t="str">
        <f t="shared" si="7"/>
        <v>no</v>
      </c>
    </row>
    <row r="22" spans="1:13" hidden="1" x14ac:dyDescent="0.35">
      <c r="A22" t="s">
        <v>244</v>
      </c>
      <c r="B22" t="s">
        <v>243</v>
      </c>
      <c r="C22">
        <v>42.066699999999997</v>
      </c>
      <c r="D22">
        <v>-71.45</v>
      </c>
      <c r="E22">
        <v>17998</v>
      </c>
      <c r="F22">
        <f t="shared" si="0"/>
        <v>-0.27694216503003588</v>
      </c>
      <c r="G22">
        <f t="shared" si="1"/>
        <v>-0.30170960044510764</v>
      </c>
      <c r="H22">
        <f t="shared" si="2"/>
        <v>-30.740580318333983</v>
      </c>
      <c r="I22">
        <f t="shared" si="3"/>
        <v>-24.89104203672138</v>
      </c>
      <c r="J22">
        <f t="shared" si="4"/>
        <v>39.554358192009303</v>
      </c>
      <c r="K22" t="str">
        <f t="shared" si="5"/>
        <v>No</v>
      </c>
      <c r="L22" t="str">
        <f t="shared" si="6"/>
        <v>No</v>
      </c>
      <c r="M22" t="str">
        <f t="shared" si="7"/>
        <v>no</v>
      </c>
    </row>
    <row r="23" spans="1:13" x14ac:dyDescent="0.35">
      <c r="A23" t="s">
        <v>193</v>
      </c>
      <c r="B23" t="s">
        <v>187</v>
      </c>
      <c r="C23">
        <v>42.416699999999999</v>
      </c>
      <c r="D23">
        <v>-71.183300000000003</v>
      </c>
      <c r="E23">
        <v>27442</v>
      </c>
      <c r="F23">
        <f t="shared" si="0"/>
        <v>7.305783496996554E-2</v>
      </c>
      <c r="G23">
        <f t="shared" si="1"/>
        <v>-3.500960044510748E-2</v>
      </c>
      <c r="H23">
        <f t="shared" si="2"/>
        <v>8.109419681666175</v>
      </c>
      <c r="I23">
        <f t="shared" si="3"/>
        <v>-2.8882920367213671</v>
      </c>
      <c r="J23">
        <f t="shared" si="4"/>
        <v>8.6084213687982771</v>
      </c>
      <c r="K23" t="str">
        <f t="shared" si="5"/>
        <v>Yes</v>
      </c>
      <c r="L23" t="str">
        <f t="shared" si="6"/>
        <v>No</v>
      </c>
      <c r="M23" t="str">
        <f t="shared" si="7"/>
        <v>Yes</v>
      </c>
    </row>
    <row r="24" spans="1:13" hidden="1" x14ac:dyDescent="0.35">
      <c r="A24" t="s">
        <v>55</v>
      </c>
      <c r="B24" t="s">
        <v>53</v>
      </c>
      <c r="C24">
        <v>41.883299999999998</v>
      </c>
      <c r="D24">
        <v>-71.366699999999994</v>
      </c>
      <c r="E24">
        <v>6892</v>
      </c>
      <c r="F24">
        <f t="shared" si="0"/>
        <v>-0.46034216503003478</v>
      </c>
      <c r="G24">
        <f t="shared" si="1"/>
        <v>-0.21840960044509927</v>
      </c>
      <c r="H24">
        <f t="shared" si="2"/>
        <v>-51.09798031833386</v>
      </c>
      <c r="I24">
        <f t="shared" si="3"/>
        <v>-18.01879203672069</v>
      </c>
      <c r="J24">
        <f t="shared" si="4"/>
        <v>54.181920038657019</v>
      </c>
      <c r="K24" t="str">
        <f t="shared" si="5"/>
        <v>No</v>
      </c>
      <c r="L24" t="str">
        <f t="shared" si="6"/>
        <v>No</v>
      </c>
      <c r="M24" t="str">
        <f t="shared" si="7"/>
        <v>no</v>
      </c>
    </row>
    <row r="25" spans="1:13" hidden="1" x14ac:dyDescent="0.35">
      <c r="A25" t="s">
        <v>84</v>
      </c>
      <c r="B25" t="s">
        <v>82</v>
      </c>
      <c r="C25">
        <v>42.558599999999998</v>
      </c>
      <c r="D25">
        <v>-70.879199999999997</v>
      </c>
      <c r="E25">
        <v>43223</v>
      </c>
      <c r="F25">
        <f t="shared" si="0"/>
        <v>0.21495783496996523</v>
      </c>
      <c r="G25">
        <f t="shared" si="1"/>
        <v>0.26909039955489789</v>
      </c>
      <c r="H25">
        <f t="shared" si="2"/>
        <v>23.860319681666141</v>
      </c>
      <c r="I25">
        <f t="shared" si="3"/>
        <v>22.199957963279076</v>
      </c>
      <c r="J25">
        <f t="shared" si="4"/>
        <v>32.590688683773813</v>
      </c>
      <c r="K25" t="str">
        <f t="shared" si="5"/>
        <v>No</v>
      </c>
      <c r="L25" t="str">
        <f t="shared" si="6"/>
        <v>No</v>
      </c>
      <c r="M25" t="str">
        <f t="shared" si="7"/>
        <v>no</v>
      </c>
    </row>
    <row r="26" spans="1:13" hidden="1" x14ac:dyDescent="0.35">
      <c r="A26" t="s">
        <v>194</v>
      </c>
      <c r="B26" t="s">
        <v>187</v>
      </c>
      <c r="C26">
        <v>42.55</v>
      </c>
      <c r="D26">
        <v>-71.3</v>
      </c>
      <c r="E26">
        <v>42978</v>
      </c>
      <c r="F26">
        <f t="shared" si="0"/>
        <v>0.20635783496996396</v>
      </c>
      <c r="G26">
        <f t="shared" si="1"/>
        <v>-0.15170960044510196</v>
      </c>
      <c r="H26">
        <f t="shared" si="2"/>
        <v>22.905719681666</v>
      </c>
      <c r="I26">
        <f t="shared" si="3"/>
        <v>-12.516042036720911</v>
      </c>
      <c r="J26">
        <f t="shared" si="4"/>
        <v>26.102170453815255</v>
      </c>
      <c r="K26" t="str">
        <f t="shared" si="5"/>
        <v>No</v>
      </c>
      <c r="L26" t="str">
        <f t="shared" si="6"/>
        <v>No</v>
      </c>
      <c r="M26" t="str">
        <f t="shared" si="7"/>
        <v>no</v>
      </c>
    </row>
    <row r="27" spans="1:13" x14ac:dyDescent="0.35">
      <c r="A27" t="s">
        <v>296</v>
      </c>
      <c r="B27" t="s">
        <v>297</v>
      </c>
      <c r="C27">
        <v>42.360100000000003</v>
      </c>
      <c r="D27">
        <v>-71.058899999999994</v>
      </c>
      <c r="E27">
        <v>673458</v>
      </c>
      <c r="F27">
        <f t="shared" si="0"/>
        <v>1.6457834969969554E-2</v>
      </c>
      <c r="G27">
        <f t="shared" si="1"/>
        <v>8.9390399554901023E-2</v>
      </c>
      <c r="H27">
        <f t="shared" si="2"/>
        <v>1.8268196816666205</v>
      </c>
      <c r="I27">
        <f t="shared" si="3"/>
        <v>7.3747079632793344</v>
      </c>
      <c r="J27">
        <f t="shared" si="4"/>
        <v>7.5976040758241776</v>
      </c>
      <c r="K27" t="str">
        <f t="shared" si="5"/>
        <v>Yes</v>
      </c>
      <c r="L27" t="str">
        <f t="shared" si="6"/>
        <v>No</v>
      </c>
      <c r="M27" t="str">
        <f t="shared" si="7"/>
        <v>Yes</v>
      </c>
    </row>
    <row r="28" spans="1:13" hidden="1" x14ac:dyDescent="0.35">
      <c r="A28" t="s">
        <v>5</v>
      </c>
      <c r="B28" t="s">
        <v>4</v>
      </c>
      <c r="C28">
        <v>41.740699999999997</v>
      </c>
      <c r="D28">
        <v>-70.620400000000004</v>
      </c>
      <c r="E28">
        <v>20508</v>
      </c>
      <c r="F28">
        <f t="shared" si="0"/>
        <v>-0.60294216503003639</v>
      </c>
      <c r="G28">
        <f t="shared" si="1"/>
        <v>0.52789039955489159</v>
      </c>
      <c r="H28">
        <f t="shared" si="2"/>
        <v>-66.926580318334032</v>
      </c>
      <c r="I28">
        <f t="shared" si="3"/>
        <v>43.550957963278556</v>
      </c>
      <c r="J28">
        <f t="shared" si="4"/>
        <v>79.848939207892258</v>
      </c>
      <c r="K28" t="str">
        <f t="shared" si="5"/>
        <v>No</v>
      </c>
      <c r="L28" t="str">
        <f t="shared" si="6"/>
        <v>No</v>
      </c>
      <c r="M28" t="str">
        <f t="shared" si="7"/>
        <v>no</v>
      </c>
    </row>
    <row r="29" spans="1:13" hidden="1" x14ac:dyDescent="0.35">
      <c r="A29" t="s">
        <v>195</v>
      </c>
      <c r="B29" t="s">
        <v>187</v>
      </c>
      <c r="C29">
        <v>42.45</v>
      </c>
      <c r="D29">
        <v>-71.433300000000003</v>
      </c>
      <c r="E29">
        <v>5565</v>
      </c>
      <c r="F29">
        <f t="shared" si="0"/>
        <v>0.10635783496996964</v>
      </c>
      <c r="G29">
        <f t="shared" si="1"/>
        <v>-0.28500960044510748</v>
      </c>
      <c r="H29">
        <f t="shared" si="2"/>
        <v>11.805719681666631</v>
      </c>
      <c r="I29">
        <f t="shared" si="3"/>
        <v>-23.513292036721367</v>
      </c>
      <c r="J29">
        <f t="shared" si="4"/>
        <v>26.310642706065455</v>
      </c>
      <c r="K29" t="str">
        <f t="shared" si="5"/>
        <v>No</v>
      </c>
      <c r="L29" t="str">
        <f t="shared" si="6"/>
        <v>No</v>
      </c>
      <c r="M29" t="str">
        <f t="shared" si="7"/>
        <v>no</v>
      </c>
    </row>
    <row r="30" spans="1:13" hidden="1" x14ac:dyDescent="0.35">
      <c r="A30" t="s">
        <v>85</v>
      </c>
      <c r="B30" t="s">
        <v>82</v>
      </c>
      <c r="C30">
        <v>42.65</v>
      </c>
      <c r="D30">
        <v>-71.183300000000003</v>
      </c>
      <c r="E30">
        <v>8334</v>
      </c>
      <c r="F30">
        <f t="shared" si="0"/>
        <v>0.30635783496996538</v>
      </c>
      <c r="G30">
        <f t="shared" si="1"/>
        <v>-3.500960044510748E-2</v>
      </c>
      <c r="H30">
        <f t="shared" si="2"/>
        <v>34.005719681666157</v>
      </c>
      <c r="I30">
        <f t="shared" si="3"/>
        <v>-2.8882920367213671</v>
      </c>
      <c r="J30">
        <f t="shared" si="4"/>
        <v>34.128158490569703</v>
      </c>
      <c r="K30" t="str">
        <f t="shared" si="5"/>
        <v>No</v>
      </c>
      <c r="L30" t="str">
        <f t="shared" si="6"/>
        <v>No</v>
      </c>
      <c r="M30" t="str">
        <f t="shared" si="7"/>
        <v>no</v>
      </c>
    </row>
    <row r="31" spans="1:13" hidden="1" x14ac:dyDescent="0.35">
      <c r="A31" t="s">
        <v>245</v>
      </c>
      <c r="B31" t="s">
        <v>243</v>
      </c>
      <c r="C31">
        <v>42.2</v>
      </c>
      <c r="D31">
        <v>-71.033299999999997</v>
      </c>
      <c r="E31">
        <v>39134</v>
      </c>
      <c r="F31">
        <f t="shared" si="0"/>
        <v>-0.14364216503003036</v>
      </c>
      <c r="G31">
        <f t="shared" si="1"/>
        <v>0.1149903995548982</v>
      </c>
      <c r="H31">
        <f t="shared" si="2"/>
        <v>-15.944280318333369</v>
      </c>
      <c r="I31">
        <f t="shared" si="3"/>
        <v>9.4867079632791018</v>
      </c>
      <c r="J31">
        <f t="shared" si="4"/>
        <v>18.553104938261303</v>
      </c>
      <c r="K31" t="str">
        <f t="shared" si="5"/>
        <v>No</v>
      </c>
      <c r="L31" t="str">
        <f t="shared" si="6"/>
        <v>No</v>
      </c>
      <c r="M31" t="str">
        <f t="shared" si="7"/>
        <v>no</v>
      </c>
    </row>
    <row r="32" spans="1:13" hidden="1" x14ac:dyDescent="0.35">
      <c r="A32" t="s">
        <v>6</v>
      </c>
      <c r="B32" t="s">
        <v>4</v>
      </c>
      <c r="C32">
        <v>41.750100000000003</v>
      </c>
      <c r="D32">
        <v>-69.9679</v>
      </c>
      <c r="E32">
        <v>10447</v>
      </c>
      <c r="F32">
        <f t="shared" si="0"/>
        <v>-0.59354216503002988</v>
      </c>
      <c r="G32">
        <f t="shared" si="1"/>
        <v>1.180390399554895</v>
      </c>
      <c r="H32">
        <f t="shared" si="2"/>
        <v>-65.883180318333316</v>
      </c>
      <c r="I32">
        <f t="shared" si="3"/>
        <v>97.38220796327883</v>
      </c>
      <c r="J32">
        <f t="shared" si="4"/>
        <v>117.57503083844507</v>
      </c>
      <c r="K32" t="str">
        <f t="shared" si="5"/>
        <v>No</v>
      </c>
      <c r="L32" t="str">
        <f t="shared" si="6"/>
        <v>No</v>
      </c>
      <c r="M32" t="str">
        <f t="shared" si="7"/>
        <v>no</v>
      </c>
    </row>
    <row r="33" spans="1:13" hidden="1" x14ac:dyDescent="0.35">
      <c r="A33" t="s">
        <v>271</v>
      </c>
      <c r="B33" t="s">
        <v>270</v>
      </c>
      <c r="C33">
        <v>41.9833</v>
      </c>
      <c r="D33">
        <v>-70.9833</v>
      </c>
      <c r="E33">
        <v>29167</v>
      </c>
      <c r="F33">
        <f t="shared" si="0"/>
        <v>-0.36034216503003336</v>
      </c>
      <c r="G33">
        <f t="shared" si="1"/>
        <v>0.16499039955489536</v>
      </c>
      <c r="H33">
        <f t="shared" si="2"/>
        <v>-39.997980318333703</v>
      </c>
      <c r="I33">
        <f t="shared" si="3"/>
        <v>13.611707963278867</v>
      </c>
      <c r="J33">
        <f t="shared" si="4"/>
        <v>42.250645240320289</v>
      </c>
      <c r="K33" t="str">
        <f t="shared" si="5"/>
        <v>No</v>
      </c>
      <c r="L33" t="str">
        <f t="shared" si="6"/>
        <v>No</v>
      </c>
      <c r="M33" t="str">
        <f t="shared" si="7"/>
        <v>no</v>
      </c>
    </row>
    <row r="34" spans="1:13" hidden="1" x14ac:dyDescent="0.35">
      <c r="A34" t="s">
        <v>272</v>
      </c>
      <c r="B34" t="s">
        <v>270</v>
      </c>
      <c r="C34">
        <v>42.089100000000002</v>
      </c>
      <c r="D34">
        <v>-71.011600000000001</v>
      </c>
      <c r="E34">
        <v>105788</v>
      </c>
      <c r="F34">
        <f t="shared" si="0"/>
        <v>-0.25454216503003124</v>
      </c>
      <c r="G34">
        <f t="shared" si="1"/>
        <v>0.13669039955489382</v>
      </c>
      <c r="H34">
        <f t="shared" si="2"/>
        <v>-28.254180318333468</v>
      </c>
      <c r="I34">
        <f t="shared" si="3"/>
        <v>11.27695796327874</v>
      </c>
      <c r="J34">
        <f t="shared" si="4"/>
        <v>30.42151354496449</v>
      </c>
      <c r="K34" t="str">
        <f t="shared" si="5"/>
        <v>No</v>
      </c>
      <c r="L34" t="str">
        <f t="shared" si="6"/>
        <v>No</v>
      </c>
      <c r="M34" t="str">
        <f t="shared" si="7"/>
        <v>no</v>
      </c>
    </row>
    <row r="35" spans="1:13" x14ac:dyDescent="0.35">
      <c r="A35" t="s">
        <v>246</v>
      </c>
      <c r="B35" t="s">
        <v>243</v>
      </c>
      <c r="C35">
        <v>42.331400000000002</v>
      </c>
      <c r="D35">
        <v>-71.1233</v>
      </c>
      <c r="E35">
        <v>63925</v>
      </c>
      <c r="F35">
        <f t="shared" si="0"/>
        <v>-1.224216503003106E-2</v>
      </c>
      <c r="G35">
        <f t="shared" si="1"/>
        <v>2.4990399554894793E-2</v>
      </c>
      <c r="H35">
        <f t="shared" si="2"/>
        <v>-1.3588803183334477</v>
      </c>
      <c r="I35">
        <f t="shared" si="3"/>
        <v>2.0617079632788204</v>
      </c>
      <c r="J35">
        <f t="shared" si="4"/>
        <v>2.4692499762886126</v>
      </c>
      <c r="K35" t="str">
        <f t="shared" si="5"/>
        <v>Yes</v>
      </c>
      <c r="L35" t="str">
        <f t="shared" si="6"/>
        <v>Yes</v>
      </c>
      <c r="M35" t="str">
        <f t="shared" si="7"/>
        <v>Yes</v>
      </c>
    </row>
    <row r="36" spans="1:13" hidden="1" x14ac:dyDescent="0.35">
      <c r="A36" t="s">
        <v>196</v>
      </c>
      <c r="B36" t="s">
        <v>187</v>
      </c>
      <c r="C36">
        <v>42.5</v>
      </c>
      <c r="D36">
        <v>-71.2</v>
      </c>
      <c r="E36">
        <v>26977</v>
      </c>
      <c r="F36">
        <f t="shared" si="0"/>
        <v>0.1563578349699668</v>
      </c>
      <c r="G36">
        <f t="shared" si="1"/>
        <v>-5.170960044510764E-2</v>
      </c>
      <c r="H36">
        <f t="shared" si="2"/>
        <v>17.355719681666315</v>
      </c>
      <c r="I36">
        <f t="shared" si="3"/>
        <v>-4.2660420367213803</v>
      </c>
      <c r="J36">
        <f t="shared" si="4"/>
        <v>17.872328340975987</v>
      </c>
      <c r="K36" t="str">
        <f t="shared" si="5"/>
        <v>No</v>
      </c>
      <c r="L36" t="str">
        <f t="shared" si="6"/>
        <v>No</v>
      </c>
      <c r="M36" t="str">
        <f t="shared" si="7"/>
        <v>no</v>
      </c>
    </row>
    <row r="37" spans="1:13" x14ac:dyDescent="0.35">
      <c r="A37" t="s">
        <v>197</v>
      </c>
      <c r="B37" t="s">
        <v>187</v>
      </c>
      <c r="C37">
        <v>42.360100000000003</v>
      </c>
      <c r="D37">
        <v>-71.105400000000003</v>
      </c>
      <c r="E37">
        <v>121186</v>
      </c>
      <c r="F37">
        <f t="shared" si="0"/>
        <v>1.6457834969969554E-2</v>
      </c>
      <c r="G37">
        <f t="shared" si="1"/>
        <v>4.2890399554892156E-2</v>
      </c>
      <c r="H37">
        <f t="shared" si="2"/>
        <v>1.8268196816666205</v>
      </c>
      <c r="I37">
        <f t="shared" si="3"/>
        <v>3.5384579632786028</v>
      </c>
      <c r="J37">
        <f t="shared" si="4"/>
        <v>3.9822047796684554</v>
      </c>
      <c r="K37" t="str">
        <f t="shared" si="5"/>
        <v>Yes</v>
      </c>
      <c r="L37" t="str">
        <f t="shared" si="6"/>
        <v>Yes</v>
      </c>
      <c r="M37" t="str">
        <f t="shared" si="7"/>
        <v>Yes</v>
      </c>
    </row>
    <row r="38" spans="1:13" hidden="1" x14ac:dyDescent="0.35">
      <c r="A38" t="s">
        <v>247</v>
      </c>
      <c r="B38" t="s">
        <v>243</v>
      </c>
      <c r="C38">
        <v>42.166699999999999</v>
      </c>
      <c r="D38">
        <v>-71.133300000000006</v>
      </c>
      <c r="E38">
        <v>25163</v>
      </c>
      <c r="F38">
        <f t="shared" si="0"/>
        <v>-0.17694216503003446</v>
      </c>
      <c r="G38">
        <f t="shared" si="1"/>
        <v>1.4990399554889677E-2</v>
      </c>
      <c r="H38">
        <f t="shared" si="2"/>
        <v>-19.640580318333825</v>
      </c>
      <c r="I38">
        <f t="shared" si="3"/>
        <v>1.2367079632783984</v>
      </c>
      <c r="J38">
        <f t="shared" si="4"/>
        <v>19.679477681771896</v>
      </c>
      <c r="K38" t="str">
        <f t="shared" si="5"/>
        <v>No</v>
      </c>
      <c r="L38" t="str">
        <f t="shared" si="6"/>
        <v>No</v>
      </c>
      <c r="M38" t="str">
        <f t="shared" si="7"/>
        <v>no</v>
      </c>
    </row>
    <row r="39" spans="1:13" hidden="1" x14ac:dyDescent="0.35">
      <c r="A39" t="s">
        <v>198</v>
      </c>
      <c r="B39" t="s">
        <v>187</v>
      </c>
      <c r="C39">
        <v>42.533299999999997</v>
      </c>
      <c r="D39">
        <v>-71.349999999999994</v>
      </c>
      <c r="E39">
        <v>5317</v>
      </c>
      <c r="F39">
        <f t="shared" si="0"/>
        <v>0.1896578349699638</v>
      </c>
      <c r="G39">
        <f t="shared" si="1"/>
        <v>-0.20170960044509911</v>
      </c>
      <c r="H39">
        <f t="shared" si="2"/>
        <v>21.052019681665982</v>
      </c>
      <c r="I39">
        <f t="shared" si="3"/>
        <v>-16.641042036720677</v>
      </c>
      <c r="J39">
        <f t="shared" si="4"/>
        <v>26.834899156604941</v>
      </c>
      <c r="K39" t="str">
        <f t="shared" si="5"/>
        <v>No</v>
      </c>
      <c r="L39" t="str">
        <f t="shared" si="6"/>
        <v>No</v>
      </c>
      <c r="M39" t="str">
        <f t="shared" si="7"/>
        <v>no</v>
      </c>
    </row>
    <row r="40" spans="1:13" hidden="1" x14ac:dyDescent="0.35">
      <c r="A40" t="s">
        <v>273</v>
      </c>
      <c r="B40" t="s">
        <v>270</v>
      </c>
      <c r="C40">
        <v>41.9833</v>
      </c>
      <c r="D40">
        <v>-70.666700000000006</v>
      </c>
      <c r="E40">
        <v>11817</v>
      </c>
      <c r="F40">
        <f t="shared" si="0"/>
        <v>-0.36034216503003336</v>
      </c>
      <c r="G40">
        <f t="shared" si="1"/>
        <v>0.48159039955488936</v>
      </c>
      <c r="H40">
        <f t="shared" si="2"/>
        <v>-39.997980318333703</v>
      </c>
      <c r="I40">
        <f t="shared" si="3"/>
        <v>39.731207963278372</v>
      </c>
      <c r="J40">
        <f t="shared" si="4"/>
        <v>56.37736527869216</v>
      </c>
      <c r="K40" t="str">
        <f t="shared" si="5"/>
        <v>No</v>
      </c>
      <c r="L40" t="str">
        <f t="shared" si="6"/>
        <v>No</v>
      </c>
      <c r="M40" t="str">
        <f t="shared" si="7"/>
        <v>no</v>
      </c>
    </row>
    <row r="41" spans="1:13" hidden="1" x14ac:dyDescent="0.35">
      <c r="A41" t="s">
        <v>7</v>
      </c>
      <c r="B41" t="s">
        <v>4</v>
      </c>
      <c r="C41">
        <v>41.695500000000003</v>
      </c>
      <c r="D41">
        <v>-69.960800000000006</v>
      </c>
      <c r="E41">
        <v>6711</v>
      </c>
      <c r="F41">
        <f t="shared" si="0"/>
        <v>-0.64814216503003053</v>
      </c>
      <c r="G41">
        <f t="shared" si="1"/>
        <v>1.1874903995548891</v>
      </c>
      <c r="H41">
        <f t="shared" si="2"/>
        <v>-71.943780318333381</v>
      </c>
      <c r="I41">
        <f t="shared" si="3"/>
        <v>97.967957963278351</v>
      </c>
      <c r="J41">
        <f t="shared" si="4"/>
        <v>121.54681531816162</v>
      </c>
      <c r="K41" t="str">
        <f t="shared" si="5"/>
        <v>No</v>
      </c>
      <c r="L41" t="str">
        <f t="shared" si="6"/>
        <v>No</v>
      </c>
      <c r="M41" t="str">
        <f t="shared" si="7"/>
        <v>no</v>
      </c>
    </row>
    <row r="42" spans="1:13" hidden="1" x14ac:dyDescent="0.35">
      <c r="A42" t="s">
        <v>199</v>
      </c>
      <c r="B42" t="s">
        <v>187</v>
      </c>
      <c r="C42">
        <v>42.6</v>
      </c>
      <c r="D42">
        <v>-71.400000000000006</v>
      </c>
      <c r="E42">
        <v>36953</v>
      </c>
      <c r="F42">
        <f t="shared" si="0"/>
        <v>0.25635783496996822</v>
      </c>
      <c r="G42">
        <f t="shared" si="1"/>
        <v>-0.25170960044511048</v>
      </c>
      <c r="H42">
        <f t="shared" si="2"/>
        <v>28.455719681666473</v>
      </c>
      <c r="I42">
        <f t="shared" si="3"/>
        <v>-20.766042036721615</v>
      </c>
      <c r="J42">
        <f t="shared" si="4"/>
        <v>35.227212272225998</v>
      </c>
      <c r="K42" t="str">
        <f t="shared" si="5"/>
        <v>No</v>
      </c>
      <c r="L42" t="str">
        <f t="shared" si="6"/>
        <v>No</v>
      </c>
      <c r="M42" t="str">
        <f t="shared" si="7"/>
        <v>no</v>
      </c>
    </row>
    <row r="43" spans="1:13" x14ac:dyDescent="0.35">
      <c r="A43" t="s">
        <v>298</v>
      </c>
      <c r="B43" t="s">
        <v>297</v>
      </c>
      <c r="C43">
        <v>42.3917</v>
      </c>
      <c r="D43">
        <v>-71.031700000000001</v>
      </c>
      <c r="E43">
        <v>40245</v>
      </c>
      <c r="F43">
        <f t="shared" si="0"/>
        <v>4.8057834969966962E-2</v>
      </c>
      <c r="G43">
        <f t="shared" si="1"/>
        <v>0.11659039955489447</v>
      </c>
      <c r="H43">
        <f t="shared" si="2"/>
        <v>5.3344196816663327</v>
      </c>
      <c r="I43">
        <f t="shared" si="3"/>
        <v>9.6187079632787942</v>
      </c>
      <c r="J43">
        <f t="shared" si="4"/>
        <v>10.998889772290294</v>
      </c>
      <c r="K43" t="str">
        <f t="shared" si="5"/>
        <v>Yes</v>
      </c>
      <c r="L43" t="str">
        <f t="shared" si="6"/>
        <v>No</v>
      </c>
      <c r="M43" t="str">
        <f t="shared" si="7"/>
        <v>no</v>
      </c>
    </row>
    <row r="44" spans="1:13" hidden="1" x14ac:dyDescent="0.35">
      <c r="A44" t="s">
        <v>75</v>
      </c>
      <c r="B44" t="s">
        <v>74</v>
      </c>
      <c r="C44">
        <v>41.366700000000002</v>
      </c>
      <c r="D44">
        <v>-70.833299999999994</v>
      </c>
      <c r="E44">
        <v>1249</v>
      </c>
      <c r="F44">
        <f t="shared" si="0"/>
        <v>-0.97694216503003162</v>
      </c>
      <c r="G44">
        <f t="shared" si="1"/>
        <v>0.31499039955490105</v>
      </c>
      <c r="H44">
        <f t="shared" si="2"/>
        <v>-108.4405803183335</v>
      </c>
      <c r="I44">
        <f t="shared" si="3"/>
        <v>25.986707963279336</v>
      </c>
      <c r="J44">
        <f t="shared" si="4"/>
        <v>111.51084454233904</v>
      </c>
      <c r="K44" t="str">
        <f t="shared" si="5"/>
        <v>No</v>
      </c>
      <c r="L44" t="str">
        <f t="shared" si="6"/>
        <v>No</v>
      </c>
      <c r="M44" t="str">
        <f t="shared" si="7"/>
        <v>no</v>
      </c>
    </row>
    <row r="45" spans="1:13" hidden="1" x14ac:dyDescent="0.35">
      <c r="A45" t="s">
        <v>248</v>
      </c>
      <c r="B45" t="s">
        <v>243</v>
      </c>
      <c r="C45">
        <v>42.2333</v>
      </c>
      <c r="D45">
        <v>-70.8</v>
      </c>
      <c r="E45">
        <v>8532</v>
      </c>
      <c r="F45">
        <f t="shared" si="0"/>
        <v>-0.11034216503003336</v>
      </c>
      <c r="G45">
        <f t="shared" si="1"/>
        <v>0.34829039955489804</v>
      </c>
      <c r="H45">
        <f t="shared" si="2"/>
        <v>-12.247980318333703</v>
      </c>
      <c r="I45">
        <f t="shared" si="3"/>
        <v>28.733957963279089</v>
      </c>
      <c r="J45">
        <f t="shared" si="4"/>
        <v>31.235450406769861</v>
      </c>
      <c r="K45" t="str">
        <f t="shared" si="5"/>
        <v>No</v>
      </c>
      <c r="L45" t="str">
        <f t="shared" si="6"/>
        <v>No</v>
      </c>
      <c r="M45" t="str">
        <f t="shared" si="7"/>
        <v>no</v>
      </c>
    </row>
    <row r="46" spans="1:13" hidden="1" x14ac:dyDescent="0.35">
      <c r="A46" t="s">
        <v>200</v>
      </c>
      <c r="B46" t="s">
        <v>187</v>
      </c>
      <c r="C46">
        <v>42.460500000000003</v>
      </c>
      <c r="D46">
        <v>-71.344399999999993</v>
      </c>
      <c r="E46">
        <v>18092</v>
      </c>
      <c r="F46">
        <f t="shared" si="0"/>
        <v>0.11685783496997004</v>
      </c>
      <c r="G46">
        <f t="shared" si="1"/>
        <v>-0.19610960044509795</v>
      </c>
      <c r="H46">
        <f t="shared" si="2"/>
        <v>12.971219681666675</v>
      </c>
      <c r="I46">
        <f t="shared" si="3"/>
        <v>-16.179042036720581</v>
      </c>
      <c r="J46">
        <f t="shared" si="4"/>
        <v>20.736777504135706</v>
      </c>
      <c r="K46" t="str">
        <f t="shared" si="5"/>
        <v>No</v>
      </c>
      <c r="L46" t="str">
        <f t="shared" si="6"/>
        <v>No</v>
      </c>
      <c r="M46" t="str">
        <f t="shared" si="7"/>
        <v>no</v>
      </c>
    </row>
    <row r="47" spans="1:13" hidden="1" x14ac:dyDescent="0.35">
      <c r="A47" t="s">
        <v>86</v>
      </c>
      <c r="B47" t="s">
        <v>82</v>
      </c>
      <c r="C47">
        <v>42.536700000000003</v>
      </c>
      <c r="D47">
        <v>-70.966700000000003</v>
      </c>
      <c r="E47">
        <v>28590</v>
      </c>
      <c r="F47">
        <f t="shared" si="0"/>
        <v>0.19305783496997009</v>
      </c>
      <c r="G47">
        <f t="shared" si="1"/>
        <v>0.1815903995548922</v>
      </c>
      <c r="H47">
        <f t="shared" si="2"/>
        <v>21.42941968166668</v>
      </c>
      <c r="I47">
        <f t="shared" si="3"/>
        <v>14.981207963278607</v>
      </c>
      <c r="J47">
        <f t="shared" si="4"/>
        <v>26.146828104609661</v>
      </c>
      <c r="K47" t="str">
        <f t="shared" si="5"/>
        <v>No</v>
      </c>
      <c r="L47" t="str">
        <f t="shared" si="6"/>
        <v>No</v>
      </c>
      <c r="M47" t="str">
        <f t="shared" si="7"/>
        <v>no</v>
      </c>
    </row>
    <row r="48" spans="1:13" hidden="1" x14ac:dyDescent="0.35">
      <c r="A48" t="s">
        <v>56</v>
      </c>
      <c r="B48" t="s">
        <v>53</v>
      </c>
      <c r="C48">
        <v>41.654800000000002</v>
      </c>
      <c r="D48">
        <v>-71.177400000000006</v>
      </c>
      <c r="E48">
        <v>34139</v>
      </c>
      <c r="F48">
        <f t="shared" si="0"/>
        <v>-0.68884216503003159</v>
      </c>
      <c r="G48">
        <f t="shared" si="1"/>
        <v>-2.9109600445110573E-2</v>
      </c>
      <c r="H48">
        <f t="shared" si="2"/>
        <v>-76.461480318333514</v>
      </c>
      <c r="I48">
        <f t="shared" si="3"/>
        <v>-2.4015420367216223</v>
      </c>
      <c r="J48">
        <f t="shared" si="4"/>
        <v>76.49918546380114</v>
      </c>
      <c r="K48" t="str">
        <f t="shared" si="5"/>
        <v>No</v>
      </c>
      <c r="L48" t="str">
        <f t="shared" si="6"/>
        <v>No</v>
      </c>
      <c r="M48" t="str">
        <f t="shared" si="7"/>
        <v>no</v>
      </c>
    </row>
    <row r="49" spans="1:13" x14ac:dyDescent="0.35">
      <c r="A49" t="s">
        <v>249</v>
      </c>
      <c r="B49" t="s">
        <v>243</v>
      </c>
      <c r="C49">
        <v>42.243000000000002</v>
      </c>
      <c r="D49">
        <v>-71.181899999999999</v>
      </c>
      <c r="E49">
        <v>25485</v>
      </c>
      <c r="F49">
        <f t="shared" si="0"/>
        <v>-0.10064216503003109</v>
      </c>
      <c r="G49">
        <f t="shared" si="1"/>
        <v>-3.3609600445103638E-2</v>
      </c>
      <c r="H49">
        <f t="shared" si="2"/>
        <v>-11.171280318333451</v>
      </c>
      <c r="I49">
        <f t="shared" si="3"/>
        <v>-2.7727920367210501</v>
      </c>
      <c r="J49">
        <f t="shared" si="4"/>
        <v>11.510251067187371</v>
      </c>
      <c r="K49" t="str">
        <f t="shared" si="5"/>
        <v>Yes</v>
      </c>
      <c r="L49" t="str">
        <f t="shared" si="6"/>
        <v>No</v>
      </c>
      <c r="M49" t="str">
        <f t="shared" si="7"/>
        <v>no</v>
      </c>
    </row>
    <row r="50" spans="1:13" hidden="1" x14ac:dyDescent="0.35">
      <c r="A50" t="s">
        <v>8</v>
      </c>
      <c r="B50" t="s">
        <v>4</v>
      </c>
      <c r="C50">
        <v>41.780999999999999</v>
      </c>
      <c r="D50">
        <v>-70.014700000000005</v>
      </c>
      <c r="E50">
        <v>14862</v>
      </c>
      <c r="F50">
        <f t="shared" si="0"/>
        <v>-0.56264216503003439</v>
      </c>
      <c r="G50">
        <f t="shared" si="1"/>
        <v>1.1335903995548904</v>
      </c>
      <c r="H50">
        <f t="shared" si="2"/>
        <v>-62.453280318333817</v>
      </c>
      <c r="I50">
        <f t="shared" si="3"/>
        <v>93.521207963278457</v>
      </c>
      <c r="J50">
        <f t="shared" si="4"/>
        <v>112.45722992067321</v>
      </c>
      <c r="K50" t="str">
        <f t="shared" si="5"/>
        <v>No</v>
      </c>
      <c r="L50" t="str">
        <f t="shared" si="6"/>
        <v>No</v>
      </c>
      <c r="M50" t="str">
        <f t="shared" si="7"/>
        <v>no</v>
      </c>
    </row>
    <row r="51" spans="1:13" hidden="1" x14ac:dyDescent="0.35">
      <c r="A51" t="s">
        <v>57</v>
      </c>
      <c r="B51" t="s">
        <v>53</v>
      </c>
      <c r="C51">
        <v>42.0167</v>
      </c>
      <c r="D51">
        <v>-71.25</v>
      </c>
      <c r="E51">
        <v>8275</v>
      </c>
      <c r="F51">
        <f t="shared" si="0"/>
        <v>-0.32694216503003304</v>
      </c>
      <c r="G51">
        <f t="shared" si="1"/>
        <v>-0.1017096004451048</v>
      </c>
      <c r="H51">
        <f t="shared" si="2"/>
        <v>-36.290580318333667</v>
      </c>
      <c r="I51">
        <f t="shared" si="3"/>
        <v>-8.3910420367211458</v>
      </c>
      <c r="J51">
        <f t="shared" si="4"/>
        <v>37.248030905048502</v>
      </c>
      <c r="K51" t="str">
        <f t="shared" si="5"/>
        <v>No</v>
      </c>
      <c r="L51" t="str">
        <f t="shared" si="6"/>
        <v>No</v>
      </c>
      <c r="M51" t="str">
        <f t="shared" si="7"/>
        <v>no</v>
      </c>
    </row>
    <row r="52" spans="1:13" hidden="1" x14ac:dyDescent="0.35">
      <c r="A52" t="s">
        <v>250</v>
      </c>
      <c r="B52" t="s">
        <v>243</v>
      </c>
      <c r="C52">
        <v>42.183300000000003</v>
      </c>
      <c r="D52">
        <v>-71.2667</v>
      </c>
      <c r="E52">
        <v>6057</v>
      </c>
      <c r="F52">
        <f t="shared" si="0"/>
        <v>-0.16034216503003051</v>
      </c>
      <c r="G52">
        <f t="shared" si="1"/>
        <v>-0.11840960044510496</v>
      </c>
      <c r="H52">
        <f t="shared" si="2"/>
        <v>-17.797980318333387</v>
      </c>
      <c r="I52">
        <f t="shared" si="3"/>
        <v>-9.7687920367211589</v>
      </c>
      <c r="J52">
        <f t="shared" si="4"/>
        <v>20.3026451791014</v>
      </c>
      <c r="K52" t="str">
        <f t="shared" si="5"/>
        <v>No</v>
      </c>
      <c r="L52" t="str">
        <f t="shared" si="6"/>
        <v>No</v>
      </c>
      <c r="M52" t="str">
        <f t="shared" si="7"/>
        <v>no</v>
      </c>
    </row>
    <row r="53" spans="1:13" hidden="1" x14ac:dyDescent="0.35">
      <c r="A53" t="s">
        <v>201</v>
      </c>
      <c r="B53" t="s">
        <v>187</v>
      </c>
      <c r="C53">
        <v>42.633299999999998</v>
      </c>
      <c r="D53">
        <v>-71.333299999999994</v>
      </c>
      <c r="E53">
        <v>32972</v>
      </c>
      <c r="F53">
        <f t="shared" si="0"/>
        <v>0.28965783496996522</v>
      </c>
      <c r="G53">
        <f t="shared" si="1"/>
        <v>-0.18500960044509895</v>
      </c>
      <c r="H53">
        <f t="shared" si="2"/>
        <v>32.15201968166614</v>
      </c>
      <c r="I53">
        <f t="shared" si="3"/>
        <v>-15.263292036720664</v>
      </c>
      <c r="J53">
        <f t="shared" si="4"/>
        <v>35.591016470571155</v>
      </c>
      <c r="K53" t="str">
        <f t="shared" si="5"/>
        <v>No</v>
      </c>
      <c r="L53" t="str">
        <f t="shared" si="6"/>
        <v>No</v>
      </c>
      <c r="M53" t="str">
        <f t="shared" si="7"/>
        <v>no</v>
      </c>
    </row>
    <row r="54" spans="1:13" hidden="1" x14ac:dyDescent="0.35">
      <c r="A54" t="s">
        <v>202</v>
      </c>
      <c r="B54" t="s">
        <v>187</v>
      </c>
      <c r="C54">
        <v>42.65</v>
      </c>
      <c r="D54">
        <v>-71.45</v>
      </c>
      <c r="E54">
        <v>3500</v>
      </c>
      <c r="F54">
        <f t="shared" si="0"/>
        <v>0.30635783496996538</v>
      </c>
      <c r="G54">
        <f t="shared" si="1"/>
        <v>-0.30170960044510764</v>
      </c>
      <c r="H54">
        <f t="shared" si="2"/>
        <v>34.005719681666157</v>
      </c>
      <c r="I54">
        <f t="shared" si="3"/>
        <v>-24.89104203672138</v>
      </c>
      <c r="J54">
        <f t="shared" si="4"/>
        <v>42.142056721781955</v>
      </c>
      <c r="K54" t="str">
        <f t="shared" si="5"/>
        <v>No</v>
      </c>
      <c r="L54" t="str">
        <f t="shared" si="6"/>
        <v>No</v>
      </c>
      <c r="M54" t="str">
        <f t="shared" si="7"/>
        <v>no</v>
      </c>
    </row>
    <row r="55" spans="1:13" hidden="1" x14ac:dyDescent="0.35">
      <c r="A55" t="s">
        <v>274</v>
      </c>
      <c r="B55" t="s">
        <v>270</v>
      </c>
      <c r="C55">
        <v>42.033299999999997</v>
      </c>
      <c r="D55">
        <v>-70.666700000000006</v>
      </c>
      <c r="E55">
        <v>16377</v>
      </c>
      <c r="F55">
        <f t="shared" si="0"/>
        <v>-0.3103421650300362</v>
      </c>
      <c r="G55">
        <f t="shared" si="1"/>
        <v>0.48159039955488936</v>
      </c>
      <c r="H55">
        <f t="shared" si="2"/>
        <v>-34.447980318334018</v>
      </c>
      <c r="I55">
        <f t="shared" si="3"/>
        <v>39.731207963278372</v>
      </c>
      <c r="J55">
        <f t="shared" si="4"/>
        <v>52.585475506394374</v>
      </c>
      <c r="K55" t="str">
        <f t="shared" si="5"/>
        <v>No</v>
      </c>
      <c r="L55" t="str">
        <f t="shared" si="6"/>
        <v>No</v>
      </c>
      <c r="M55" t="str">
        <f t="shared" si="7"/>
        <v>no</v>
      </c>
    </row>
    <row r="56" spans="1:13" hidden="1" x14ac:dyDescent="0.35">
      <c r="A56" t="s">
        <v>275</v>
      </c>
      <c r="B56" t="s">
        <v>270</v>
      </c>
      <c r="C56">
        <v>41.966700000000003</v>
      </c>
      <c r="D56">
        <v>-70.916700000000006</v>
      </c>
      <c r="E56">
        <v>14519</v>
      </c>
      <c r="F56">
        <f t="shared" si="0"/>
        <v>-0.3769421650300302</v>
      </c>
      <c r="G56">
        <f t="shared" si="1"/>
        <v>0.23159039955488936</v>
      </c>
      <c r="H56">
        <f t="shared" si="2"/>
        <v>-41.840580318333352</v>
      </c>
      <c r="I56">
        <f t="shared" si="3"/>
        <v>19.106207963278372</v>
      </c>
      <c r="J56">
        <f t="shared" si="4"/>
        <v>45.996536218621358</v>
      </c>
      <c r="K56" t="str">
        <f t="shared" si="5"/>
        <v>No</v>
      </c>
      <c r="L56" t="str">
        <f t="shared" si="6"/>
        <v>No</v>
      </c>
      <c r="M56" t="str">
        <f t="shared" si="7"/>
        <v>no</v>
      </c>
    </row>
    <row r="57" spans="1:13" hidden="1" x14ac:dyDescent="0.35">
      <c r="A57" t="s">
        <v>9</v>
      </c>
      <c r="B57" t="s">
        <v>4</v>
      </c>
      <c r="C57">
        <v>41.834299999999999</v>
      </c>
      <c r="D57">
        <v>-69.986199999999997</v>
      </c>
      <c r="E57">
        <v>5824</v>
      </c>
      <c r="F57">
        <f t="shared" si="0"/>
        <v>-0.50934216503003427</v>
      </c>
      <c r="G57">
        <f t="shared" si="1"/>
        <v>1.1620903995548986</v>
      </c>
      <c r="H57">
        <f t="shared" si="2"/>
        <v>-56.536980318333804</v>
      </c>
      <c r="I57">
        <f t="shared" si="3"/>
        <v>95.872457963279132</v>
      </c>
      <c r="J57">
        <f t="shared" si="4"/>
        <v>111.30120547162275</v>
      </c>
      <c r="K57" t="str">
        <f t="shared" si="5"/>
        <v>No</v>
      </c>
      <c r="L57" t="str">
        <f t="shared" si="6"/>
        <v>No</v>
      </c>
      <c r="M57" t="str">
        <f t="shared" si="7"/>
        <v>no</v>
      </c>
    </row>
    <row r="58" spans="1:13" hidden="1" x14ac:dyDescent="0.35">
      <c r="A58" t="s">
        <v>58</v>
      </c>
      <c r="B58" t="s">
        <v>53</v>
      </c>
      <c r="C58">
        <v>42.066699999999997</v>
      </c>
      <c r="D58">
        <v>-71.133300000000006</v>
      </c>
      <c r="E58">
        <v>25568</v>
      </c>
      <c r="F58">
        <f t="shared" si="0"/>
        <v>-0.27694216503003588</v>
      </c>
      <c r="G58">
        <f t="shared" si="1"/>
        <v>1.4990399554889677E-2</v>
      </c>
      <c r="H58">
        <f t="shared" si="2"/>
        <v>-30.740580318333983</v>
      </c>
      <c r="I58">
        <f t="shared" si="3"/>
        <v>1.2367079632783984</v>
      </c>
      <c r="J58">
        <f t="shared" si="4"/>
        <v>30.765446931490835</v>
      </c>
      <c r="K58" t="str">
        <f t="shared" si="5"/>
        <v>No</v>
      </c>
      <c r="L58" t="str">
        <f t="shared" si="6"/>
        <v>No</v>
      </c>
      <c r="M58" t="str">
        <f t="shared" si="7"/>
        <v>no</v>
      </c>
    </row>
    <row r="59" spans="1:13" hidden="1" x14ac:dyDescent="0.35">
      <c r="A59" t="s">
        <v>76</v>
      </c>
      <c r="B59" t="s">
        <v>74</v>
      </c>
      <c r="C59">
        <v>41.391300000000001</v>
      </c>
      <c r="D59">
        <v>-70.513900000000007</v>
      </c>
      <c r="E59">
        <v>5328</v>
      </c>
      <c r="F59">
        <f t="shared" si="0"/>
        <v>-0.95234216503003211</v>
      </c>
      <c r="G59">
        <f t="shared" si="1"/>
        <v>0.63439039955488852</v>
      </c>
      <c r="H59">
        <f t="shared" si="2"/>
        <v>-105.70998031833356</v>
      </c>
      <c r="I59">
        <f t="shared" si="3"/>
        <v>52.337207963278303</v>
      </c>
      <c r="J59">
        <f t="shared" si="4"/>
        <v>117.95670085371967</v>
      </c>
      <c r="K59" t="str">
        <f t="shared" si="5"/>
        <v>No</v>
      </c>
      <c r="L59" t="str">
        <f t="shared" si="6"/>
        <v>No</v>
      </c>
      <c r="M59" t="str">
        <f t="shared" si="7"/>
        <v>no</v>
      </c>
    </row>
    <row r="60" spans="1:13" hidden="1" x14ac:dyDescent="0.35">
      <c r="A60" t="s">
        <v>82</v>
      </c>
      <c r="B60" t="s">
        <v>82</v>
      </c>
      <c r="C60">
        <v>42.616700000000002</v>
      </c>
      <c r="D60">
        <v>-70.783299999999997</v>
      </c>
      <c r="E60">
        <v>3760</v>
      </c>
      <c r="F60">
        <f t="shared" si="0"/>
        <v>0.27305783496996838</v>
      </c>
      <c r="G60">
        <f t="shared" si="1"/>
        <v>0.3649903995548982</v>
      </c>
      <c r="H60">
        <f t="shared" si="2"/>
        <v>30.30941968166649</v>
      </c>
      <c r="I60">
        <f t="shared" si="3"/>
        <v>30.111707963279102</v>
      </c>
      <c r="J60">
        <f t="shared" si="4"/>
        <v>42.724417818212551</v>
      </c>
      <c r="K60" t="str">
        <f t="shared" si="5"/>
        <v>No</v>
      </c>
      <c r="L60" t="str">
        <f t="shared" si="6"/>
        <v>No</v>
      </c>
      <c r="M60" t="str">
        <f t="shared" si="7"/>
        <v>no</v>
      </c>
    </row>
    <row r="61" spans="1:13" x14ac:dyDescent="0.35">
      <c r="A61" t="s">
        <v>203</v>
      </c>
      <c r="B61" t="s">
        <v>187</v>
      </c>
      <c r="C61">
        <v>42.4</v>
      </c>
      <c r="D61">
        <v>-71.05</v>
      </c>
      <c r="E61">
        <v>51825</v>
      </c>
      <c r="F61">
        <f t="shared" si="0"/>
        <v>5.6357834969965381E-2</v>
      </c>
      <c r="G61">
        <f t="shared" si="1"/>
        <v>9.8290399554898045E-2</v>
      </c>
      <c r="H61">
        <f t="shared" si="2"/>
        <v>6.2557196816661573</v>
      </c>
      <c r="I61">
        <f t="shared" si="3"/>
        <v>8.1089579632790887</v>
      </c>
      <c r="J61">
        <f t="shared" si="4"/>
        <v>10.24154421880864</v>
      </c>
      <c r="K61" t="str">
        <f t="shared" si="5"/>
        <v>Yes</v>
      </c>
      <c r="L61" t="str">
        <f t="shared" si="6"/>
        <v>No</v>
      </c>
      <c r="M61" t="str">
        <f t="shared" si="7"/>
        <v>no</v>
      </c>
    </row>
    <row r="62" spans="1:13" hidden="1" x14ac:dyDescent="0.35">
      <c r="A62" t="s">
        <v>59</v>
      </c>
      <c r="B62" t="s">
        <v>53</v>
      </c>
      <c r="C62">
        <v>41.633299999999998</v>
      </c>
      <c r="D62">
        <v>-71.083299999999994</v>
      </c>
      <c r="E62">
        <v>16005</v>
      </c>
      <c r="F62">
        <f t="shared" si="0"/>
        <v>-0.71034216503003478</v>
      </c>
      <c r="G62">
        <f t="shared" si="1"/>
        <v>6.4990399554901046E-2</v>
      </c>
      <c r="H62">
        <f t="shared" si="2"/>
        <v>-78.847980318333867</v>
      </c>
      <c r="I62">
        <f t="shared" si="3"/>
        <v>5.3617079632793363</v>
      </c>
      <c r="J62">
        <f t="shared" si="4"/>
        <v>79.030069673282327</v>
      </c>
      <c r="K62" t="str">
        <f t="shared" si="5"/>
        <v>No</v>
      </c>
      <c r="L62" t="str">
        <f t="shared" si="6"/>
        <v>No</v>
      </c>
      <c r="M62" t="str">
        <f t="shared" si="7"/>
        <v>no</v>
      </c>
    </row>
    <row r="63" spans="1:13" hidden="1" x14ac:dyDescent="0.35">
      <c r="A63" t="s">
        <v>60</v>
      </c>
      <c r="B63" t="s">
        <v>53</v>
      </c>
      <c r="C63">
        <v>41.703800000000001</v>
      </c>
      <c r="D63">
        <v>-71.155100000000004</v>
      </c>
      <c r="E63">
        <v>94689</v>
      </c>
      <c r="F63">
        <f t="shared" si="0"/>
        <v>-0.63984216503003211</v>
      </c>
      <c r="G63">
        <f t="shared" si="1"/>
        <v>-6.809600445109254E-3</v>
      </c>
      <c r="H63">
        <f t="shared" si="2"/>
        <v>-71.022480318333564</v>
      </c>
      <c r="I63">
        <f t="shared" si="3"/>
        <v>-0.56179203672151345</v>
      </c>
      <c r="J63">
        <f t="shared" si="4"/>
        <v>71.024702187764248</v>
      </c>
      <c r="K63" t="str">
        <f t="shared" si="5"/>
        <v>No</v>
      </c>
      <c r="L63" t="str">
        <f t="shared" si="6"/>
        <v>No</v>
      </c>
      <c r="M63" t="str">
        <f t="shared" si="7"/>
        <v>no</v>
      </c>
    </row>
    <row r="64" spans="1:13" hidden="1" x14ac:dyDescent="0.35">
      <c r="A64" t="s">
        <v>10</v>
      </c>
      <c r="B64" t="s">
        <v>4</v>
      </c>
      <c r="C64">
        <v>41.654800000000002</v>
      </c>
      <c r="D64">
        <v>-70.286900000000003</v>
      </c>
      <c r="E64">
        <v>33227</v>
      </c>
      <c r="F64">
        <f t="shared" si="0"/>
        <v>-0.68884216503003159</v>
      </c>
      <c r="G64">
        <f t="shared" si="1"/>
        <v>0.86139039955489238</v>
      </c>
      <c r="H64">
        <f t="shared" si="2"/>
        <v>-76.461480318333514</v>
      </c>
      <c r="I64">
        <f t="shared" si="3"/>
        <v>71.064707963278622</v>
      </c>
      <c r="J64">
        <f t="shared" si="4"/>
        <v>104.38654458490797</v>
      </c>
      <c r="K64" t="str">
        <f t="shared" si="5"/>
        <v>No</v>
      </c>
      <c r="L64" t="str">
        <f t="shared" si="6"/>
        <v>No</v>
      </c>
      <c r="M64" t="str">
        <f t="shared" si="7"/>
        <v>no</v>
      </c>
    </row>
    <row r="65" spans="1:13" hidden="1" x14ac:dyDescent="0.35">
      <c r="A65" t="s">
        <v>251</v>
      </c>
      <c r="B65" t="s">
        <v>243</v>
      </c>
      <c r="C65">
        <v>42.066699999999997</v>
      </c>
      <c r="D65">
        <v>-71.2333</v>
      </c>
      <c r="E65">
        <v>18791</v>
      </c>
      <c r="F65">
        <f t="shared" si="0"/>
        <v>-0.27694216503003588</v>
      </c>
      <c r="G65">
        <f t="shared" si="1"/>
        <v>-8.5009600445104638E-2</v>
      </c>
      <c r="H65">
        <f t="shared" si="2"/>
        <v>-30.740580318333983</v>
      </c>
      <c r="I65">
        <f t="shared" si="3"/>
        <v>-7.0132920367211327</v>
      </c>
      <c r="J65">
        <f t="shared" si="4"/>
        <v>31.530454222866481</v>
      </c>
      <c r="K65" t="str">
        <f t="shared" si="5"/>
        <v>No</v>
      </c>
      <c r="L65" t="str">
        <f t="shared" si="6"/>
        <v>No</v>
      </c>
      <c r="M65" t="str">
        <f t="shared" si="7"/>
        <v>no</v>
      </c>
    </row>
    <row r="66" spans="1:13" hidden="1" x14ac:dyDescent="0.35">
      <c r="A66" t="s">
        <v>204</v>
      </c>
      <c r="B66" t="s">
        <v>187</v>
      </c>
      <c r="C66">
        <v>42.282800000000002</v>
      </c>
      <c r="D66">
        <v>-71.416700000000006</v>
      </c>
      <c r="E66">
        <v>73361</v>
      </c>
      <c r="F66">
        <f t="shared" si="0"/>
        <v>-6.0842165030031481E-2</v>
      </c>
      <c r="G66">
        <f t="shared" si="1"/>
        <v>-0.26840960044511064</v>
      </c>
      <c r="H66">
        <f t="shared" si="2"/>
        <v>-6.7534803183334944</v>
      </c>
      <c r="I66">
        <f t="shared" si="3"/>
        <v>-22.143792036721628</v>
      </c>
      <c r="J66">
        <f t="shared" si="4"/>
        <v>23.150745607338312</v>
      </c>
      <c r="K66" t="str">
        <f t="shared" si="5"/>
        <v>No</v>
      </c>
      <c r="L66" t="str">
        <f t="shared" si="6"/>
        <v>No</v>
      </c>
      <c r="M66" t="str">
        <f t="shared" si="7"/>
        <v>no</v>
      </c>
    </row>
    <row r="67" spans="1:13" hidden="1" x14ac:dyDescent="0.35">
      <c r="A67" t="s">
        <v>116</v>
      </c>
      <c r="B67" t="s">
        <v>243</v>
      </c>
      <c r="C67">
        <v>42.1</v>
      </c>
      <c r="D67">
        <v>-71.400000000000006</v>
      </c>
      <c r="E67">
        <v>33742</v>
      </c>
      <c r="F67">
        <f t="shared" si="0"/>
        <v>-0.24364216503003178</v>
      </c>
      <c r="G67">
        <f t="shared" si="1"/>
        <v>-0.25170960044511048</v>
      </c>
      <c r="H67">
        <f t="shared" si="2"/>
        <v>-27.044280318333527</v>
      </c>
      <c r="I67">
        <f t="shared" si="3"/>
        <v>-20.766042036721615</v>
      </c>
      <c r="J67">
        <f t="shared" si="4"/>
        <v>34.097237421930409</v>
      </c>
      <c r="K67" t="str">
        <f t="shared" si="5"/>
        <v>No</v>
      </c>
      <c r="L67" t="str">
        <f t="shared" si="6"/>
        <v>No</v>
      </c>
      <c r="M67" t="str">
        <f t="shared" si="7"/>
        <v>no</v>
      </c>
    </row>
    <row r="68" spans="1:13" hidden="1" x14ac:dyDescent="0.35">
      <c r="A68" t="s">
        <v>61</v>
      </c>
      <c r="B68" t="s">
        <v>53</v>
      </c>
      <c r="C68">
        <v>41.816699999999997</v>
      </c>
      <c r="D68">
        <v>-71.216700000000003</v>
      </c>
      <c r="E68">
        <v>9380</v>
      </c>
      <c r="F68">
        <f t="shared" si="0"/>
        <v>-0.52694216503003588</v>
      </c>
      <c r="G68">
        <f t="shared" si="1"/>
        <v>-6.8409600445107799E-2</v>
      </c>
      <c r="H68">
        <f t="shared" si="2"/>
        <v>-58.490580318333983</v>
      </c>
      <c r="I68">
        <f t="shared" si="3"/>
        <v>-5.6437920367213934</v>
      </c>
      <c r="J68">
        <f t="shared" si="4"/>
        <v>58.762235955835088</v>
      </c>
      <c r="K68" t="str">
        <f t="shared" si="5"/>
        <v>No</v>
      </c>
      <c r="L68" t="str">
        <f t="shared" si="6"/>
        <v>No</v>
      </c>
      <c r="M68" t="str">
        <f t="shared" si="7"/>
        <v>no</v>
      </c>
    </row>
    <row r="69" spans="1:13" hidden="1" x14ac:dyDescent="0.35">
      <c r="A69" t="s">
        <v>87</v>
      </c>
      <c r="B69" t="s">
        <v>82</v>
      </c>
      <c r="C69">
        <v>42.75</v>
      </c>
      <c r="D69">
        <v>-71.0167</v>
      </c>
      <c r="E69">
        <v>8558</v>
      </c>
      <c r="F69">
        <f t="shared" si="0"/>
        <v>0.4063578349699668</v>
      </c>
      <c r="G69">
        <f t="shared" si="1"/>
        <v>0.13159039955489504</v>
      </c>
      <c r="H69">
        <f t="shared" si="2"/>
        <v>45.105719681666315</v>
      </c>
      <c r="I69">
        <f t="shared" si="3"/>
        <v>10.856207963278841</v>
      </c>
      <c r="J69">
        <f t="shared" si="4"/>
        <v>46.393784059322201</v>
      </c>
      <c r="K69" t="str">
        <f t="shared" si="5"/>
        <v>No</v>
      </c>
      <c r="L69" t="str">
        <f t="shared" si="6"/>
        <v>No</v>
      </c>
      <c r="M69" t="str">
        <f t="shared" si="7"/>
        <v>no</v>
      </c>
    </row>
    <row r="70" spans="1:13" hidden="1" x14ac:dyDescent="0.35">
      <c r="A70" t="s">
        <v>88</v>
      </c>
      <c r="B70" t="s">
        <v>82</v>
      </c>
      <c r="C70">
        <v>42.633299999999998</v>
      </c>
      <c r="D70">
        <v>-70.666700000000006</v>
      </c>
      <c r="E70">
        <v>30491</v>
      </c>
      <c r="F70">
        <f t="shared" si="0"/>
        <v>0.28965783496996522</v>
      </c>
      <c r="G70">
        <f t="shared" si="1"/>
        <v>0.48159039955488936</v>
      </c>
      <c r="H70">
        <f t="shared" si="2"/>
        <v>32.15201968166614</v>
      </c>
      <c r="I70">
        <f t="shared" si="3"/>
        <v>39.731207963278372</v>
      </c>
      <c r="J70">
        <f t="shared" si="4"/>
        <v>51.110872188131573</v>
      </c>
      <c r="K70" t="str">
        <f t="shared" si="5"/>
        <v>No</v>
      </c>
      <c r="L70" t="str">
        <f t="shared" si="6"/>
        <v>No</v>
      </c>
      <c r="M70" t="str">
        <f t="shared" si="7"/>
        <v>no</v>
      </c>
    </row>
    <row r="71" spans="1:13" hidden="1" x14ac:dyDescent="0.35">
      <c r="A71" t="s">
        <v>77</v>
      </c>
      <c r="B71" t="s">
        <v>74</v>
      </c>
      <c r="C71">
        <v>41.416699999999999</v>
      </c>
      <c r="D71">
        <v>-70.883300000000006</v>
      </c>
      <c r="E71">
        <v>62</v>
      </c>
      <c r="F71">
        <f t="shared" si="0"/>
        <v>-0.92694216503003446</v>
      </c>
      <c r="G71">
        <f t="shared" si="1"/>
        <v>0.26499039955488968</v>
      </c>
      <c r="H71">
        <f t="shared" si="2"/>
        <v>-102.89058031833383</v>
      </c>
      <c r="I71">
        <f t="shared" si="3"/>
        <v>21.861707963278398</v>
      </c>
      <c r="J71">
        <f t="shared" si="4"/>
        <v>105.18747926115149</v>
      </c>
      <c r="K71" t="str">
        <f t="shared" si="5"/>
        <v>No</v>
      </c>
      <c r="L71" t="str">
        <f t="shared" si="6"/>
        <v>No</v>
      </c>
      <c r="M71" t="str">
        <f t="shared" si="7"/>
        <v>no</v>
      </c>
    </row>
    <row r="72" spans="1:13" hidden="1" x14ac:dyDescent="0.35">
      <c r="A72" t="s">
        <v>205</v>
      </c>
      <c r="B72" t="s">
        <v>187</v>
      </c>
      <c r="C72">
        <v>42.6</v>
      </c>
      <c r="D72">
        <v>-71.55</v>
      </c>
      <c r="E72">
        <v>11580</v>
      </c>
      <c r="F72">
        <f t="shared" si="0"/>
        <v>0.25635783496996822</v>
      </c>
      <c r="G72">
        <f t="shared" si="1"/>
        <v>-0.40170960044510196</v>
      </c>
      <c r="H72">
        <f t="shared" si="2"/>
        <v>28.455719681666473</v>
      </c>
      <c r="I72">
        <f t="shared" si="3"/>
        <v>-33.141042036720911</v>
      </c>
      <c r="J72">
        <f t="shared" si="4"/>
        <v>43.681307785839962</v>
      </c>
      <c r="K72" t="str">
        <f t="shared" si="5"/>
        <v>No</v>
      </c>
      <c r="L72" t="str">
        <f t="shared" si="6"/>
        <v>No</v>
      </c>
      <c r="M72" t="str">
        <f t="shared" si="7"/>
        <v>no</v>
      </c>
    </row>
    <row r="73" spans="1:13" hidden="1" x14ac:dyDescent="0.35">
      <c r="A73" t="s">
        <v>89</v>
      </c>
      <c r="B73" t="s">
        <v>82</v>
      </c>
      <c r="C73">
        <v>42.816699999999997</v>
      </c>
      <c r="D73">
        <v>-71.083299999999994</v>
      </c>
      <c r="E73">
        <v>6849</v>
      </c>
      <c r="F73">
        <f t="shared" ref="F73:F136" si="8">C73-$C$2</f>
        <v>0.47305783496996412</v>
      </c>
      <c r="G73">
        <f t="shared" ref="G73:G136" si="9">D73-$D$2</f>
        <v>6.4990399554901046E-2</v>
      </c>
      <c r="H73">
        <f t="shared" ref="H73:H136" si="10">111*F73</f>
        <v>52.509419681666017</v>
      </c>
      <c r="I73">
        <f t="shared" ref="I73:I136" si="11">G73*82.5</f>
        <v>5.3617079632793363</v>
      </c>
      <c r="J73">
        <f t="shared" ref="J73:J136" si="12">SQRT(H73^2+I73^2)</f>
        <v>52.782450374995165</v>
      </c>
      <c r="K73" t="str">
        <f t="shared" ref="K73:K136" si="13">IF(J73&lt;=15,"Yes","No")</f>
        <v>No</v>
      </c>
      <c r="L73" t="str">
        <f t="shared" ref="L73:L136" si="14">IF(J73&lt;=5,"Yes","No")</f>
        <v>No</v>
      </c>
      <c r="M73" t="str">
        <f t="shared" ref="M73:M136" si="15">IF(J73&lt;=10,"Yes","no")</f>
        <v>no</v>
      </c>
    </row>
    <row r="74" spans="1:13" hidden="1" x14ac:dyDescent="0.35">
      <c r="A74" t="s">
        <v>276</v>
      </c>
      <c r="B74" t="s">
        <v>270</v>
      </c>
      <c r="C74">
        <v>41.883299999999998</v>
      </c>
      <c r="D74">
        <v>-70.933300000000003</v>
      </c>
      <c r="E74">
        <v>7786</v>
      </c>
      <c r="F74">
        <f t="shared" si="8"/>
        <v>-0.46034216503003478</v>
      </c>
      <c r="G74">
        <f t="shared" si="9"/>
        <v>0.21499039955489252</v>
      </c>
      <c r="H74">
        <f t="shared" si="10"/>
        <v>-51.09798031833386</v>
      </c>
      <c r="I74">
        <f t="shared" si="11"/>
        <v>17.736707963278633</v>
      </c>
      <c r="J74">
        <f t="shared" si="12"/>
        <v>54.088764101127936</v>
      </c>
      <c r="K74" t="str">
        <f t="shared" si="13"/>
        <v>No</v>
      </c>
      <c r="L74" t="str">
        <f t="shared" si="14"/>
        <v>No</v>
      </c>
      <c r="M74" t="str">
        <f t="shared" si="15"/>
        <v>no</v>
      </c>
    </row>
    <row r="75" spans="1:13" hidden="1" x14ac:dyDescent="0.35">
      <c r="A75" t="s">
        <v>90</v>
      </c>
      <c r="B75" t="s">
        <v>82</v>
      </c>
      <c r="C75">
        <v>42.583300000000001</v>
      </c>
      <c r="D75">
        <v>-70.849999999999994</v>
      </c>
      <c r="E75">
        <v>7670</v>
      </c>
      <c r="F75">
        <f t="shared" si="8"/>
        <v>0.23965783496996806</v>
      </c>
      <c r="G75">
        <f t="shared" si="9"/>
        <v>0.29829039955490089</v>
      </c>
      <c r="H75">
        <f t="shared" si="10"/>
        <v>26.602019681666455</v>
      </c>
      <c r="I75">
        <f t="shared" si="11"/>
        <v>24.608957963279323</v>
      </c>
      <c r="J75">
        <f t="shared" si="12"/>
        <v>36.239043353574033</v>
      </c>
      <c r="K75" t="str">
        <f t="shared" si="13"/>
        <v>No</v>
      </c>
      <c r="L75" t="str">
        <f t="shared" si="14"/>
        <v>No</v>
      </c>
      <c r="M75" t="str">
        <f t="shared" si="15"/>
        <v>no</v>
      </c>
    </row>
    <row r="76" spans="1:13" hidden="1" x14ac:dyDescent="0.35">
      <c r="A76" t="s">
        <v>277</v>
      </c>
      <c r="B76" t="s">
        <v>270</v>
      </c>
      <c r="C76">
        <v>42.116700000000002</v>
      </c>
      <c r="D76">
        <v>-70.866699999999994</v>
      </c>
      <c r="E76">
        <v>14887</v>
      </c>
      <c r="F76">
        <f t="shared" si="8"/>
        <v>-0.22694216503003162</v>
      </c>
      <c r="G76">
        <f t="shared" si="9"/>
        <v>0.28159039955490073</v>
      </c>
      <c r="H76">
        <f t="shared" si="10"/>
        <v>-25.19058031833351</v>
      </c>
      <c r="I76">
        <f t="shared" si="11"/>
        <v>23.23120796327931</v>
      </c>
      <c r="J76">
        <f t="shared" si="12"/>
        <v>34.267395001773089</v>
      </c>
      <c r="K76" t="str">
        <f t="shared" si="13"/>
        <v>No</v>
      </c>
      <c r="L76" t="str">
        <f t="shared" si="14"/>
        <v>No</v>
      </c>
      <c r="M76" t="str">
        <f t="shared" si="15"/>
        <v>no</v>
      </c>
    </row>
    <row r="77" spans="1:13" hidden="1" x14ac:dyDescent="0.35">
      <c r="A77" t="s">
        <v>278</v>
      </c>
      <c r="B77" t="s">
        <v>270</v>
      </c>
      <c r="C77">
        <v>41.966700000000003</v>
      </c>
      <c r="D77">
        <v>-70.866699999999994</v>
      </c>
      <c r="E77">
        <v>10719</v>
      </c>
      <c r="F77">
        <f t="shared" si="8"/>
        <v>-0.3769421650300302</v>
      </c>
      <c r="G77">
        <f t="shared" si="9"/>
        <v>0.28159039955490073</v>
      </c>
      <c r="H77">
        <f t="shared" si="10"/>
        <v>-41.840580318333352</v>
      </c>
      <c r="I77">
        <f t="shared" si="11"/>
        <v>23.23120796327931</v>
      </c>
      <c r="J77">
        <f t="shared" si="12"/>
        <v>47.857321120263684</v>
      </c>
      <c r="K77" t="str">
        <f t="shared" si="13"/>
        <v>No</v>
      </c>
      <c r="L77" t="str">
        <f t="shared" si="14"/>
        <v>No</v>
      </c>
      <c r="M77" t="str">
        <f t="shared" si="15"/>
        <v>no</v>
      </c>
    </row>
    <row r="78" spans="1:13" hidden="1" x14ac:dyDescent="0.35">
      <c r="A78" t="s">
        <v>11</v>
      </c>
      <c r="B78" t="s">
        <v>4</v>
      </c>
      <c r="C78">
        <v>41.702800000000003</v>
      </c>
      <c r="D78">
        <v>-70.057299999999998</v>
      </c>
      <c r="E78">
        <v>13620</v>
      </c>
      <c r="F78">
        <f t="shared" si="8"/>
        <v>-0.64084216503002978</v>
      </c>
      <c r="G78">
        <f t="shared" si="9"/>
        <v>1.0909903995548973</v>
      </c>
      <c r="H78">
        <f t="shared" si="10"/>
        <v>-71.133480318333312</v>
      </c>
      <c r="I78">
        <f t="shared" si="11"/>
        <v>90.006707963279027</v>
      </c>
      <c r="J78">
        <f t="shared" si="12"/>
        <v>114.72218399501341</v>
      </c>
      <c r="K78" t="str">
        <f t="shared" si="13"/>
        <v>No</v>
      </c>
      <c r="L78" t="str">
        <f t="shared" si="14"/>
        <v>No</v>
      </c>
      <c r="M78" t="str">
        <f t="shared" si="15"/>
        <v>no</v>
      </c>
    </row>
    <row r="79" spans="1:13" hidden="1" x14ac:dyDescent="0.35">
      <c r="A79" t="s">
        <v>91</v>
      </c>
      <c r="B79" t="s">
        <v>82</v>
      </c>
      <c r="C79">
        <v>42.778500000000001</v>
      </c>
      <c r="D79">
        <v>-71.075900000000004</v>
      </c>
      <c r="E79">
        <v>68291</v>
      </c>
      <c r="F79">
        <f t="shared" si="8"/>
        <v>0.43485783496996788</v>
      </c>
      <c r="G79">
        <f t="shared" si="9"/>
        <v>7.2390399554890905E-2</v>
      </c>
      <c r="H79">
        <f t="shared" si="10"/>
        <v>48.269219681666435</v>
      </c>
      <c r="I79">
        <f t="shared" si="11"/>
        <v>5.9722079632784997</v>
      </c>
      <c r="J79">
        <f t="shared" si="12"/>
        <v>48.637278260955576</v>
      </c>
      <c r="K79" t="str">
        <f t="shared" si="13"/>
        <v>No</v>
      </c>
      <c r="L79" t="str">
        <f t="shared" si="14"/>
        <v>No</v>
      </c>
      <c r="M79" t="str">
        <f t="shared" si="15"/>
        <v>no</v>
      </c>
    </row>
    <row r="80" spans="1:13" hidden="1" x14ac:dyDescent="0.35">
      <c r="A80" t="s">
        <v>279</v>
      </c>
      <c r="B80" t="s">
        <v>270</v>
      </c>
      <c r="C80">
        <v>42.2333</v>
      </c>
      <c r="D80">
        <v>-70.883300000000006</v>
      </c>
      <c r="E80">
        <v>24414</v>
      </c>
      <c r="F80">
        <f t="shared" si="8"/>
        <v>-0.11034216503003336</v>
      </c>
      <c r="G80">
        <f t="shared" si="9"/>
        <v>0.26499039955488968</v>
      </c>
      <c r="H80">
        <f t="shared" si="10"/>
        <v>-12.247980318333703</v>
      </c>
      <c r="I80">
        <f t="shared" si="11"/>
        <v>21.861707963278398</v>
      </c>
      <c r="J80">
        <f t="shared" si="12"/>
        <v>25.058876609895343</v>
      </c>
      <c r="K80" t="str">
        <f t="shared" si="13"/>
        <v>No</v>
      </c>
      <c r="L80" t="str">
        <f t="shared" si="14"/>
        <v>No</v>
      </c>
      <c r="M80" t="str">
        <f t="shared" si="15"/>
        <v>no</v>
      </c>
    </row>
    <row r="81" spans="1:13" hidden="1" x14ac:dyDescent="0.35">
      <c r="A81" t="s">
        <v>252</v>
      </c>
      <c r="B81" t="s">
        <v>243</v>
      </c>
      <c r="C81">
        <v>42.166699999999999</v>
      </c>
      <c r="D81">
        <v>-71</v>
      </c>
      <c r="E81">
        <v>11475</v>
      </c>
      <c r="F81">
        <f t="shared" si="8"/>
        <v>-0.17694216503003446</v>
      </c>
      <c r="G81">
        <f t="shared" si="9"/>
        <v>0.1482903995548952</v>
      </c>
      <c r="H81">
        <f t="shared" si="10"/>
        <v>-19.640580318333825</v>
      </c>
      <c r="I81">
        <f t="shared" si="11"/>
        <v>12.233957963278854</v>
      </c>
      <c r="J81">
        <f t="shared" si="12"/>
        <v>23.139190190847131</v>
      </c>
      <c r="K81" t="str">
        <f t="shared" si="13"/>
        <v>No</v>
      </c>
      <c r="L81" t="str">
        <f t="shared" si="14"/>
        <v>No</v>
      </c>
      <c r="M81" t="str">
        <f t="shared" si="15"/>
        <v>no</v>
      </c>
    </row>
    <row r="82" spans="1:13" hidden="1" x14ac:dyDescent="0.35">
      <c r="A82" t="s">
        <v>206</v>
      </c>
      <c r="B82" t="s">
        <v>187</v>
      </c>
      <c r="C82">
        <v>42.183300000000003</v>
      </c>
      <c r="D82">
        <v>-71.433300000000003</v>
      </c>
      <c r="E82">
        <v>15347</v>
      </c>
      <c r="F82">
        <f t="shared" si="8"/>
        <v>-0.16034216503003051</v>
      </c>
      <c r="G82">
        <f t="shared" si="9"/>
        <v>-0.28500960044510748</v>
      </c>
      <c r="H82">
        <f t="shared" si="10"/>
        <v>-17.797980318333387</v>
      </c>
      <c r="I82">
        <f t="shared" si="11"/>
        <v>-23.513292036721367</v>
      </c>
      <c r="J82">
        <f t="shared" si="12"/>
        <v>29.48971016839479</v>
      </c>
      <c r="K82" t="str">
        <f t="shared" si="13"/>
        <v>No</v>
      </c>
      <c r="L82" t="str">
        <f t="shared" si="14"/>
        <v>No</v>
      </c>
      <c r="M82" t="str">
        <f t="shared" si="15"/>
        <v>no</v>
      </c>
    </row>
    <row r="83" spans="1:13" hidden="1" x14ac:dyDescent="0.35">
      <c r="A83" t="s">
        <v>207</v>
      </c>
      <c r="B83" t="s">
        <v>187</v>
      </c>
      <c r="C83">
        <v>42.2333</v>
      </c>
      <c r="D83">
        <v>-71.533299999999997</v>
      </c>
      <c r="E83">
        <v>19971</v>
      </c>
      <c r="F83">
        <f t="shared" si="8"/>
        <v>-0.11034216503003336</v>
      </c>
      <c r="G83">
        <f t="shared" si="9"/>
        <v>-0.3850096004451018</v>
      </c>
      <c r="H83">
        <f t="shared" si="10"/>
        <v>-12.247980318333703</v>
      </c>
      <c r="I83">
        <f t="shared" si="11"/>
        <v>-31.763292036720898</v>
      </c>
      <c r="J83">
        <f t="shared" si="12"/>
        <v>34.042910317543459</v>
      </c>
      <c r="K83" t="str">
        <f t="shared" si="13"/>
        <v>No</v>
      </c>
      <c r="L83" t="str">
        <f t="shared" si="14"/>
        <v>No</v>
      </c>
      <c r="M83" t="str">
        <f t="shared" si="15"/>
        <v>no</v>
      </c>
    </row>
    <row r="84" spans="1:13" hidden="1" x14ac:dyDescent="0.35">
      <c r="A84" t="s">
        <v>208</v>
      </c>
      <c r="B84" t="s">
        <v>187</v>
      </c>
      <c r="C84">
        <v>42.383299999999998</v>
      </c>
      <c r="D84">
        <v>-71.566699999999997</v>
      </c>
      <c r="E84">
        <v>20364</v>
      </c>
      <c r="F84">
        <f t="shared" si="8"/>
        <v>3.9657834969965222E-2</v>
      </c>
      <c r="G84">
        <f t="shared" si="9"/>
        <v>-0.41840960044510211</v>
      </c>
      <c r="H84">
        <f t="shared" si="10"/>
        <v>4.4020196816661397</v>
      </c>
      <c r="I84">
        <f t="shared" si="11"/>
        <v>-34.518792036720924</v>
      </c>
      <c r="J84">
        <f t="shared" si="12"/>
        <v>34.798344514533504</v>
      </c>
      <c r="K84" t="str">
        <f t="shared" si="13"/>
        <v>No</v>
      </c>
      <c r="L84" t="str">
        <f t="shared" si="14"/>
        <v>No</v>
      </c>
      <c r="M84" t="str">
        <f t="shared" si="15"/>
        <v>no</v>
      </c>
    </row>
    <row r="85" spans="1:13" hidden="1" x14ac:dyDescent="0.35">
      <c r="A85" t="s">
        <v>280</v>
      </c>
      <c r="B85" t="s">
        <v>270</v>
      </c>
      <c r="C85">
        <v>42.333300000000001</v>
      </c>
      <c r="D85">
        <v>-70.916700000000006</v>
      </c>
      <c r="E85">
        <v>10278</v>
      </c>
      <c r="F85">
        <f t="shared" si="8"/>
        <v>-1.0342165030031936E-2</v>
      </c>
      <c r="G85">
        <f t="shared" si="9"/>
        <v>0.23159039955488936</v>
      </c>
      <c r="H85">
        <f t="shared" si="10"/>
        <v>-1.1479803183335449</v>
      </c>
      <c r="I85">
        <f t="shared" si="11"/>
        <v>19.106207963278372</v>
      </c>
      <c r="J85">
        <f t="shared" si="12"/>
        <v>19.140664605685014</v>
      </c>
      <c r="K85" t="str">
        <f t="shared" si="13"/>
        <v>No</v>
      </c>
      <c r="L85" t="str">
        <f t="shared" si="14"/>
        <v>No</v>
      </c>
      <c r="M85" t="str">
        <f t="shared" si="15"/>
        <v>no</v>
      </c>
    </row>
    <row r="86" spans="1:13" hidden="1" x14ac:dyDescent="0.35">
      <c r="A86" t="s">
        <v>92</v>
      </c>
      <c r="B86" t="s">
        <v>82</v>
      </c>
      <c r="C86">
        <v>42.683100000000003</v>
      </c>
      <c r="D86">
        <v>-70.851399999999998</v>
      </c>
      <c r="E86">
        <v>14110</v>
      </c>
      <c r="F86">
        <f t="shared" si="8"/>
        <v>0.33945783496996995</v>
      </c>
      <c r="G86">
        <f t="shared" si="9"/>
        <v>0.29689039955489704</v>
      </c>
      <c r="H86">
        <f t="shared" si="10"/>
        <v>37.679819681666665</v>
      </c>
      <c r="I86">
        <f t="shared" si="11"/>
        <v>24.493457963279006</v>
      </c>
      <c r="J86">
        <f t="shared" si="12"/>
        <v>44.941053550643765</v>
      </c>
      <c r="K86" t="str">
        <f t="shared" si="13"/>
        <v>No</v>
      </c>
      <c r="L86" t="str">
        <f t="shared" si="14"/>
        <v>No</v>
      </c>
      <c r="M86" t="str">
        <f t="shared" si="15"/>
        <v>no</v>
      </c>
    </row>
    <row r="87" spans="1:13" hidden="1" x14ac:dyDescent="0.35">
      <c r="A87" t="s">
        <v>281</v>
      </c>
      <c r="B87" t="s">
        <v>270</v>
      </c>
      <c r="C87">
        <v>41.933300000000003</v>
      </c>
      <c r="D87">
        <v>-70.666700000000006</v>
      </c>
      <c r="E87">
        <v>14462</v>
      </c>
      <c r="F87">
        <f t="shared" si="8"/>
        <v>-0.41034216503003051</v>
      </c>
      <c r="G87">
        <f t="shared" si="9"/>
        <v>0.48159039955488936</v>
      </c>
      <c r="H87">
        <f t="shared" si="10"/>
        <v>-45.547980318333387</v>
      </c>
      <c r="I87">
        <f t="shared" si="11"/>
        <v>39.731207963278372</v>
      </c>
      <c r="J87">
        <f t="shared" si="12"/>
        <v>60.441603199291137</v>
      </c>
      <c r="K87" t="str">
        <f t="shared" si="13"/>
        <v>No</v>
      </c>
      <c r="L87" t="str">
        <f t="shared" si="14"/>
        <v>No</v>
      </c>
      <c r="M87" t="str">
        <f t="shared" si="15"/>
        <v>no</v>
      </c>
    </row>
    <row r="88" spans="1:13" hidden="1" x14ac:dyDescent="0.35">
      <c r="A88" t="s">
        <v>282</v>
      </c>
      <c r="B88" t="s">
        <v>270</v>
      </c>
      <c r="C88">
        <v>41.833300000000001</v>
      </c>
      <c r="D88">
        <v>-70.833299999999994</v>
      </c>
      <c r="E88">
        <v>12262</v>
      </c>
      <c r="F88">
        <f t="shared" si="8"/>
        <v>-0.51034216503003194</v>
      </c>
      <c r="G88">
        <f t="shared" si="9"/>
        <v>0.31499039955490105</v>
      </c>
      <c r="H88">
        <f t="shared" si="10"/>
        <v>-56.647980318333545</v>
      </c>
      <c r="I88">
        <f t="shared" si="11"/>
        <v>25.986707963279336</v>
      </c>
      <c r="J88">
        <f t="shared" si="12"/>
        <v>62.324174001065352</v>
      </c>
      <c r="K88" t="str">
        <f t="shared" si="13"/>
        <v>No</v>
      </c>
      <c r="L88" t="str">
        <f t="shared" si="14"/>
        <v>No</v>
      </c>
      <c r="M88" t="str">
        <f t="shared" si="15"/>
        <v>no</v>
      </c>
    </row>
    <row r="89" spans="1:13" hidden="1" x14ac:dyDescent="0.35">
      <c r="A89" t="s">
        <v>93</v>
      </c>
      <c r="B89" t="s">
        <v>82</v>
      </c>
      <c r="C89">
        <v>42.708100000000002</v>
      </c>
      <c r="D89">
        <v>-71.168700000000001</v>
      </c>
      <c r="E89">
        <v>89332</v>
      </c>
      <c r="F89">
        <f t="shared" si="8"/>
        <v>0.36445783496996853</v>
      </c>
      <c r="G89">
        <f t="shared" si="9"/>
        <v>-2.040960044510598E-2</v>
      </c>
      <c r="H89">
        <f t="shared" si="10"/>
        <v>40.454819681666507</v>
      </c>
      <c r="I89">
        <f t="shared" si="11"/>
        <v>-1.6837920367212433</v>
      </c>
      <c r="J89">
        <f t="shared" si="12"/>
        <v>40.489845530689266</v>
      </c>
      <c r="K89" t="str">
        <f t="shared" si="13"/>
        <v>No</v>
      </c>
      <c r="L89" t="str">
        <f t="shared" si="14"/>
        <v>No</v>
      </c>
      <c r="M89" t="str">
        <f t="shared" si="15"/>
        <v>no</v>
      </c>
    </row>
    <row r="90" spans="1:13" x14ac:dyDescent="0.35">
      <c r="A90" t="s">
        <v>209</v>
      </c>
      <c r="B90" t="s">
        <v>187</v>
      </c>
      <c r="C90">
        <v>42.4467</v>
      </c>
      <c r="D90">
        <v>-71.226900000000001</v>
      </c>
      <c r="E90">
        <v>34743</v>
      </c>
      <c r="F90">
        <f t="shared" si="8"/>
        <v>0.10305783496996668</v>
      </c>
      <c r="G90">
        <f t="shared" si="9"/>
        <v>-7.8609600445105343E-2</v>
      </c>
      <c r="H90">
        <f t="shared" si="10"/>
        <v>11.439419681666301</v>
      </c>
      <c r="I90">
        <f t="shared" si="11"/>
        <v>-6.4852920367211908</v>
      </c>
      <c r="J90">
        <f t="shared" si="12"/>
        <v>13.149879674538989</v>
      </c>
      <c r="K90" t="str">
        <f t="shared" si="13"/>
        <v>Yes</v>
      </c>
      <c r="L90" t="str">
        <f t="shared" si="14"/>
        <v>No</v>
      </c>
      <c r="M90" t="str">
        <f t="shared" si="15"/>
        <v>no</v>
      </c>
    </row>
    <row r="91" spans="1:13" hidden="1" x14ac:dyDescent="0.35">
      <c r="A91" t="s">
        <v>210</v>
      </c>
      <c r="B91" t="s">
        <v>187</v>
      </c>
      <c r="C91">
        <v>42.416699999999999</v>
      </c>
      <c r="D91">
        <v>-71.316699999999997</v>
      </c>
      <c r="E91">
        <v>6996</v>
      </c>
      <c r="F91">
        <f t="shared" si="8"/>
        <v>7.305783496996554E-2</v>
      </c>
      <c r="G91">
        <f t="shared" si="9"/>
        <v>-0.16840960044510211</v>
      </c>
      <c r="H91">
        <f t="shared" si="10"/>
        <v>8.109419681666175</v>
      </c>
      <c r="I91">
        <f t="shared" si="11"/>
        <v>-13.893792036720924</v>
      </c>
      <c r="J91">
        <f t="shared" si="12"/>
        <v>16.087266540125594</v>
      </c>
      <c r="K91" t="str">
        <f t="shared" si="13"/>
        <v>No</v>
      </c>
      <c r="L91" t="str">
        <f t="shared" si="14"/>
        <v>No</v>
      </c>
      <c r="M91" t="str">
        <f t="shared" si="15"/>
        <v>no</v>
      </c>
    </row>
    <row r="92" spans="1:13" hidden="1" x14ac:dyDescent="0.35">
      <c r="A92" t="s">
        <v>211</v>
      </c>
      <c r="B92" t="s">
        <v>187</v>
      </c>
      <c r="C92">
        <v>42.45</v>
      </c>
      <c r="D92">
        <v>-71.466700000000003</v>
      </c>
      <c r="E92">
        <v>10495</v>
      </c>
      <c r="F92">
        <f t="shared" si="8"/>
        <v>0.10635783496996964</v>
      </c>
      <c r="G92">
        <f t="shared" si="9"/>
        <v>-0.3184096004451078</v>
      </c>
      <c r="H92">
        <f t="shared" si="10"/>
        <v>11.805719681666631</v>
      </c>
      <c r="I92">
        <f t="shared" si="11"/>
        <v>-26.268792036721393</v>
      </c>
      <c r="J92">
        <f t="shared" si="12"/>
        <v>28.799730072877558</v>
      </c>
      <c r="K92" t="str">
        <f t="shared" si="13"/>
        <v>No</v>
      </c>
      <c r="L92" t="str">
        <f t="shared" si="14"/>
        <v>No</v>
      </c>
      <c r="M92" t="str">
        <f t="shared" si="15"/>
        <v>no</v>
      </c>
    </row>
    <row r="93" spans="1:13" hidden="1" x14ac:dyDescent="0.35">
      <c r="A93" t="s">
        <v>212</v>
      </c>
      <c r="B93" t="s">
        <v>187</v>
      </c>
      <c r="C93">
        <v>42.633000000000003</v>
      </c>
      <c r="D93">
        <v>-71.316100000000006</v>
      </c>
      <c r="E93">
        <v>120418</v>
      </c>
      <c r="F93">
        <f t="shared" si="8"/>
        <v>0.28935783496996947</v>
      </c>
      <c r="G93">
        <f t="shared" si="9"/>
        <v>-0.16780960044511062</v>
      </c>
      <c r="H93">
        <f t="shared" si="10"/>
        <v>32.118719681666612</v>
      </c>
      <c r="I93">
        <f t="shared" si="11"/>
        <v>-13.844292036721626</v>
      </c>
      <c r="J93">
        <f t="shared" si="12"/>
        <v>34.975370991420689</v>
      </c>
      <c r="K93" t="str">
        <f t="shared" si="13"/>
        <v>No</v>
      </c>
      <c r="L93" t="str">
        <f t="shared" si="14"/>
        <v>No</v>
      </c>
      <c r="M93" t="str">
        <f t="shared" si="15"/>
        <v>no</v>
      </c>
    </row>
    <row r="94" spans="1:13" hidden="1" x14ac:dyDescent="0.35">
      <c r="A94" t="s">
        <v>94</v>
      </c>
      <c r="B94" t="s">
        <v>82</v>
      </c>
      <c r="C94">
        <v>42.468899999999998</v>
      </c>
      <c r="D94">
        <v>-70.949600000000004</v>
      </c>
      <c r="E94">
        <v>103489</v>
      </c>
      <c r="F94">
        <f t="shared" si="8"/>
        <v>0.12525783496996468</v>
      </c>
      <c r="G94">
        <f t="shared" si="9"/>
        <v>0.19869039955489143</v>
      </c>
      <c r="H94">
        <f t="shared" si="10"/>
        <v>13.903619681666079</v>
      </c>
      <c r="I94">
        <f t="shared" si="11"/>
        <v>16.391957963278543</v>
      </c>
      <c r="J94">
        <f t="shared" si="12"/>
        <v>21.494346375786893</v>
      </c>
      <c r="K94" t="str">
        <f t="shared" si="13"/>
        <v>No</v>
      </c>
      <c r="L94" t="str">
        <f t="shared" si="14"/>
        <v>No</v>
      </c>
      <c r="M94" t="str">
        <f t="shared" si="15"/>
        <v>no</v>
      </c>
    </row>
    <row r="95" spans="1:13" hidden="1" x14ac:dyDescent="0.35">
      <c r="A95" t="s">
        <v>95</v>
      </c>
      <c r="B95" t="s">
        <v>82</v>
      </c>
      <c r="C95">
        <v>42.533299999999997</v>
      </c>
      <c r="D95">
        <v>-71.0167</v>
      </c>
      <c r="E95">
        <v>13230</v>
      </c>
      <c r="F95">
        <f t="shared" si="8"/>
        <v>0.1896578349699638</v>
      </c>
      <c r="G95">
        <f t="shared" si="9"/>
        <v>0.13159039955489504</v>
      </c>
      <c r="H95">
        <f t="shared" si="10"/>
        <v>21.052019681665982</v>
      </c>
      <c r="I95">
        <f t="shared" si="11"/>
        <v>10.856207963278841</v>
      </c>
      <c r="J95">
        <f t="shared" si="12"/>
        <v>23.686383937173922</v>
      </c>
      <c r="K95" t="str">
        <f t="shared" si="13"/>
        <v>No</v>
      </c>
      <c r="L95" t="str">
        <f t="shared" si="14"/>
        <v>No</v>
      </c>
      <c r="M95" t="str">
        <f t="shared" si="15"/>
        <v>no</v>
      </c>
    </row>
    <row r="96" spans="1:13" x14ac:dyDescent="0.35">
      <c r="A96" t="s">
        <v>213</v>
      </c>
      <c r="B96" t="s">
        <v>187</v>
      </c>
      <c r="C96">
        <v>42.425600000000003</v>
      </c>
      <c r="D96">
        <v>-71.072599999999994</v>
      </c>
      <c r="E96">
        <v>66693</v>
      </c>
      <c r="F96">
        <f t="shared" si="8"/>
        <v>8.1957834969969667E-2</v>
      </c>
      <c r="G96">
        <f t="shared" si="9"/>
        <v>7.5690399554900978E-2</v>
      </c>
      <c r="H96">
        <f t="shared" si="10"/>
        <v>9.0973196816666331</v>
      </c>
      <c r="I96">
        <f t="shared" si="11"/>
        <v>6.2444579632793307</v>
      </c>
      <c r="J96">
        <f t="shared" si="12"/>
        <v>11.034241280921934</v>
      </c>
      <c r="K96" t="str">
        <f t="shared" si="13"/>
        <v>Yes</v>
      </c>
      <c r="L96" t="str">
        <f t="shared" si="14"/>
        <v>No</v>
      </c>
      <c r="M96" t="str">
        <f t="shared" si="15"/>
        <v>no</v>
      </c>
    </row>
    <row r="97" spans="1:13" hidden="1" x14ac:dyDescent="0.35">
      <c r="A97" t="s">
        <v>96</v>
      </c>
      <c r="B97" t="s">
        <v>82</v>
      </c>
      <c r="C97">
        <v>42.566699999999997</v>
      </c>
      <c r="D97">
        <v>-70.783299999999997</v>
      </c>
      <c r="E97">
        <v>5467</v>
      </c>
      <c r="F97">
        <f t="shared" si="8"/>
        <v>0.22305783496996412</v>
      </c>
      <c r="G97">
        <f t="shared" si="9"/>
        <v>0.3649903995548982</v>
      </c>
      <c r="H97">
        <f t="shared" si="10"/>
        <v>24.759419681666017</v>
      </c>
      <c r="I97">
        <f t="shared" si="11"/>
        <v>30.111707963279102</v>
      </c>
      <c r="J97">
        <f t="shared" si="12"/>
        <v>38.98389179441525</v>
      </c>
      <c r="K97" t="str">
        <f t="shared" si="13"/>
        <v>No</v>
      </c>
      <c r="L97" t="str">
        <f t="shared" si="14"/>
        <v>No</v>
      </c>
      <c r="M97" t="str">
        <f t="shared" si="15"/>
        <v>no</v>
      </c>
    </row>
    <row r="98" spans="1:13" hidden="1" x14ac:dyDescent="0.35">
      <c r="A98" t="s">
        <v>62</v>
      </c>
      <c r="B98" t="s">
        <v>53</v>
      </c>
      <c r="C98">
        <v>42.019399999999997</v>
      </c>
      <c r="D98">
        <v>-71.201999999999998</v>
      </c>
      <c r="E98">
        <v>24077</v>
      </c>
      <c r="F98">
        <f t="shared" si="8"/>
        <v>-0.32424216503003578</v>
      </c>
      <c r="G98">
        <f t="shared" si="9"/>
        <v>-5.3709600445102978E-2</v>
      </c>
      <c r="H98">
        <f t="shared" si="10"/>
        <v>-35.990880318333971</v>
      </c>
      <c r="I98">
        <f t="shared" si="11"/>
        <v>-4.4310420367209957</v>
      </c>
      <c r="J98">
        <f t="shared" si="12"/>
        <v>36.262619867017719</v>
      </c>
      <c r="K98" t="str">
        <f t="shared" si="13"/>
        <v>No</v>
      </c>
      <c r="L98" t="str">
        <f t="shared" si="14"/>
        <v>No</v>
      </c>
      <c r="M98" t="str">
        <f t="shared" si="15"/>
        <v>no</v>
      </c>
    </row>
    <row r="99" spans="1:13" hidden="1" x14ac:dyDescent="0.35">
      <c r="A99" t="s">
        <v>97</v>
      </c>
      <c r="B99" t="s">
        <v>82</v>
      </c>
      <c r="C99">
        <v>42.5</v>
      </c>
      <c r="D99">
        <v>-70.866699999999994</v>
      </c>
      <c r="E99">
        <v>20576</v>
      </c>
      <c r="F99">
        <f t="shared" si="8"/>
        <v>0.1563578349699668</v>
      </c>
      <c r="G99">
        <f t="shared" si="9"/>
        <v>0.28159039955490073</v>
      </c>
      <c r="H99">
        <f t="shared" si="10"/>
        <v>17.355719681666315</v>
      </c>
      <c r="I99">
        <f t="shared" si="11"/>
        <v>23.23120796327931</v>
      </c>
      <c r="J99">
        <f t="shared" si="12"/>
        <v>28.99844873612572</v>
      </c>
      <c r="K99" t="str">
        <f t="shared" si="13"/>
        <v>No</v>
      </c>
      <c r="L99" t="str">
        <f t="shared" si="14"/>
        <v>No</v>
      </c>
      <c r="M99" t="str">
        <f t="shared" si="15"/>
        <v>no</v>
      </c>
    </row>
    <row r="100" spans="1:13" hidden="1" x14ac:dyDescent="0.35">
      <c r="A100" t="s">
        <v>283</v>
      </c>
      <c r="B100" t="s">
        <v>270</v>
      </c>
      <c r="C100">
        <v>41.7333</v>
      </c>
      <c r="D100">
        <v>-70.75</v>
      </c>
      <c r="E100">
        <v>5341</v>
      </c>
      <c r="F100">
        <f t="shared" si="8"/>
        <v>-0.61034216503003336</v>
      </c>
      <c r="G100">
        <f t="shared" si="9"/>
        <v>0.3982903995548952</v>
      </c>
      <c r="H100">
        <f t="shared" si="10"/>
        <v>-67.747980318333703</v>
      </c>
      <c r="I100">
        <f t="shared" si="11"/>
        <v>32.858957963278854</v>
      </c>
      <c r="J100">
        <f t="shared" si="12"/>
        <v>75.296081940867666</v>
      </c>
      <c r="K100" t="str">
        <f t="shared" si="13"/>
        <v>No</v>
      </c>
      <c r="L100" t="str">
        <f t="shared" si="14"/>
        <v>No</v>
      </c>
      <c r="M100" t="str">
        <f t="shared" si="15"/>
        <v>no</v>
      </c>
    </row>
    <row r="101" spans="1:13" hidden="1" x14ac:dyDescent="0.35">
      <c r="A101" t="s">
        <v>214</v>
      </c>
      <c r="B101" t="s">
        <v>187</v>
      </c>
      <c r="C101">
        <v>42.333300000000001</v>
      </c>
      <c r="D101">
        <v>-71.55</v>
      </c>
      <c r="E101">
        <v>42169</v>
      </c>
      <c r="F101">
        <f t="shared" si="8"/>
        <v>-1.0342165030031936E-2</v>
      </c>
      <c r="G101">
        <f t="shared" si="9"/>
        <v>-0.40170960044510196</v>
      </c>
      <c r="H101">
        <f t="shared" si="10"/>
        <v>-1.1479803183335449</v>
      </c>
      <c r="I101">
        <f t="shared" si="11"/>
        <v>-33.141042036720911</v>
      </c>
      <c r="J101">
        <f t="shared" si="12"/>
        <v>33.160918655715555</v>
      </c>
      <c r="K101" t="str">
        <f t="shared" si="13"/>
        <v>No</v>
      </c>
      <c r="L101" t="str">
        <f t="shared" si="14"/>
        <v>No</v>
      </c>
      <c r="M101" t="str">
        <f t="shared" si="15"/>
        <v>no</v>
      </c>
    </row>
    <row r="102" spans="1:13" hidden="1" x14ac:dyDescent="0.35">
      <c r="A102" t="s">
        <v>284</v>
      </c>
      <c r="B102" t="s">
        <v>270</v>
      </c>
      <c r="C102">
        <v>42.1</v>
      </c>
      <c r="D102">
        <v>-70.716700000000003</v>
      </c>
      <c r="E102">
        <v>26043</v>
      </c>
      <c r="F102">
        <f t="shared" si="8"/>
        <v>-0.24364216503003178</v>
      </c>
      <c r="G102">
        <f t="shared" si="9"/>
        <v>0.4315903995548922</v>
      </c>
      <c r="H102">
        <f t="shared" si="10"/>
        <v>-27.044280318333527</v>
      </c>
      <c r="I102">
        <f t="shared" si="11"/>
        <v>35.606207963278607</v>
      </c>
      <c r="J102">
        <f t="shared" si="12"/>
        <v>44.712360074825476</v>
      </c>
      <c r="K102" t="str">
        <f t="shared" si="13"/>
        <v>No</v>
      </c>
      <c r="L102" t="str">
        <f t="shared" si="14"/>
        <v>No</v>
      </c>
      <c r="M102" t="str">
        <f t="shared" si="15"/>
        <v>no</v>
      </c>
    </row>
    <row r="103" spans="1:13" hidden="1" x14ac:dyDescent="0.35">
      <c r="A103" t="s">
        <v>12</v>
      </c>
      <c r="B103" t="s">
        <v>4</v>
      </c>
      <c r="C103">
        <v>41.666699999999999</v>
      </c>
      <c r="D103">
        <v>-70.4833</v>
      </c>
      <c r="E103">
        <v>15482</v>
      </c>
      <c r="F103">
        <f t="shared" si="8"/>
        <v>-0.67694216503003446</v>
      </c>
      <c r="G103">
        <f t="shared" si="9"/>
        <v>0.66499039955489536</v>
      </c>
      <c r="H103">
        <f t="shared" si="10"/>
        <v>-75.140580318333832</v>
      </c>
      <c r="I103">
        <f t="shared" si="11"/>
        <v>54.861707963278867</v>
      </c>
      <c r="J103">
        <f t="shared" si="12"/>
        <v>93.03716360263823</v>
      </c>
      <c r="K103" t="str">
        <f t="shared" si="13"/>
        <v>No</v>
      </c>
      <c r="L103" t="str">
        <f t="shared" si="14"/>
        <v>No</v>
      </c>
      <c r="M103" t="str">
        <f t="shared" si="15"/>
        <v>no</v>
      </c>
    </row>
    <row r="104" spans="1:13" hidden="1" x14ac:dyDescent="0.35">
      <c r="A104" t="s">
        <v>285</v>
      </c>
      <c r="B104" t="s">
        <v>270</v>
      </c>
      <c r="C104">
        <v>41.666699999999999</v>
      </c>
      <c r="D104">
        <v>-70.816699999999997</v>
      </c>
      <c r="E104">
        <v>6763</v>
      </c>
      <c r="F104">
        <f t="shared" si="8"/>
        <v>-0.67694216503003446</v>
      </c>
      <c r="G104">
        <f t="shared" si="9"/>
        <v>0.33159039955489789</v>
      </c>
      <c r="H104">
        <f t="shared" si="10"/>
        <v>-75.140580318333832</v>
      </c>
      <c r="I104">
        <f t="shared" si="11"/>
        <v>27.356207963279076</v>
      </c>
      <c r="J104">
        <f t="shared" si="12"/>
        <v>79.965423307240428</v>
      </c>
      <c r="K104" t="str">
        <f t="shared" si="13"/>
        <v>No</v>
      </c>
      <c r="L104" t="str">
        <f t="shared" si="14"/>
        <v>No</v>
      </c>
      <c r="M104" t="str">
        <f t="shared" si="15"/>
        <v>no</v>
      </c>
    </row>
    <row r="105" spans="1:13" hidden="1" x14ac:dyDescent="0.35">
      <c r="A105" t="s">
        <v>215</v>
      </c>
      <c r="B105" t="s">
        <v>187</v>
      </c>
      <c r="C105">
        <v>42.433300000000003</v>
      </c>
      <c r="D105">
        <v>-71.45</v>
      </c>
      <c r="E105">
        <v>10820</v>
      </c>
      <c r="F105">
        <f t="shared" si="8"/>
        <v>8.9657834969969485E-2</v>
      </c>
      <c r="G105">
        <f t="shared" si="9"/>
        <v>-0.30170960044510764</v>
      </c>
      <c r="H105">
        <f t="shared" si="10"/>
        <v>9.9520196816666129</v>
      </c>
      <c r="I105">
        <f t="shared" si="11"/>
        <v>-24.89104203672138</v>
      </c>
      <c r="J105">
        <f t="shared" si="12"/>
        <v>26.806839974493645</v>
      </c>
      <c r="K105" t="str">
        <f t="shared" si="13"/>
        <v>No</v>
      </c>
      <c r="L105" t="str">
        <f t="shared" si="14"/>
        <v>No</v>
      </c>
      <c r="M105" t="str">
        <f t="shared" si="15"/>
        <v>no</v>
      </c>
    </row>
    <row r="106" spans="1:13" hidden="1" x14ac:dyDescent="0.35">
      <c r="A106" t="s">
        <v>253</v>
      </c>
      <c r="B106" t="s">
        <v>243</v>
      </c>
      <c r="C106">
        <v>42.166699999999999</v>
      </c>
      <c r="D106">
        <v>-71.366699999999994</v>
      </c>
      <c r="E106">
        <v>13334</v>
      </c>
      <c r="F106">
        <f t="shared" si="8"/>
        <v>-0.17694216503003446</v>
      </c>
      <c r="G106">
        <f t="shared" si="9"/>
        <v>-0.21840960044509927</v>
      </c>
      <c r="H106">
        <f t="shared" si="10"/>
        <v>-19.640580318333825</v>
      </c>
      <c r="I106">
        <f t="shared" si="11"/>
        <v>-18.01879203672069</v>
      </c>
      <c r="J106">
        <f t="shared" si="12"/>
        <v>26.653878924154942</v>
      </c>
      <c r="K106" t="str">
        <f t="shared" si="13"/>
        <v>No</v>
      </c>
      <c r="L106" t="str">
        <f t="shared" si="14"/>
        <v>No</v>
      </c>
      <c r="M106" t="str">
        <f t="shared" si="15"/>
        <v>no</v>
      </c>
    </row>
    <row r="107" spans="1:13" x14ac:dyDescent="0.35">
      <c r="A107" t="s">
        <v>216</v>
      </c>
      <c r="B107" t="s">
        <v>187</v>
      </c>
      <c r="C107">
        <v>42.4056</v>
      </c>
      <c r="D107">
        <v>-71.103899999999996</v>
      </c>
      <c r="E107">
        <v>59898</v>
      </c>
      <c r="F107">
        <f t="shared" si="8"/>
        <v>6.1957834969966541E-2</v>
      </c>
      <c r="G107">
        <f t="shared" si="9"/>
        <v>4.4390399554899318E-2</v>
      </c>
      <c r="H107">
        <f t="shared" si="10"/>
        <v>6.877319681666286</v>
      </c>
      <c r="I107">
        <f t="shared" si="11"/>
        <v>3.6622079632791937</v>
      </c>
      <c r="J107">
        <f t="shared" si="12"/>
        <v>7.7916168521135587</v>
      </c>
      <c r="K107" t="str">
        <f t="shared" si="13"/>
        <v>Yes</v>
      </c>
      <c r="L107" t="str">
        <f t="shared" si="14"/>
        <v>No</v>
      </c>
      <c r="M107" t="str">
        <f t="shared" si="15"/>
        <v>Yes</v>
      </c>
    </row>
    <row r="108" spans="1:13" hidden="1" x14ac:dyDescent="0.35">
      <c r="A108" t="s">
        <v>254</v>
      </c>
      <c r="B108" t="s">
        <v>243</v>
      </c>
      <c r="C108">
        <v>42.2333</v>
      </c>
      <c r="D108">
        <v>-71.383300000000006</v>
      </c>
      <c r="E108">
        <v>13836</v>
      </c>
      <c r="F108">
        <f t="shared" si="8"/>
        <v>-0.11034216503003336</v>
      </c>
      <c r="G108">
        <f t="shared" si="9"/>
        <v>-0.23500960044511032</v>
      </c>
      <c r="H108">
        <f t="shared" si="10"/>
        <v>-12.247980318333703</v>
      </c>
      <c r="I108">
        <f t="shared" si="11"/>
        <v>-19.388292036721602</v>
      </c>
      <c r="J108">
        <f t="shared" si="12"/>
        <v>22.932921531708338</v>
      </c>
      <c r="K108" t="str">
        <f t="shared" si="13"/>
        <v>No</v>
      </c>
      <c r="L108" t="str">
        <f t="shared" si="14"/>
        <v>No</v>
      </c>
      <c r="M108" t="str">
        <f t="shared" si="15"/>
        <v>no</v>
      </c>
    </row>
    <row r="109" spans="1:13" x14ac:dyDescent="0.35">
      <c r="A109" t="s">
        <v>217</v>
      </c>
      <c r="B109" t="s">
        <v>187</v>
      </c>
      <c r="C109">
        <v>42.456800000000001</v>
      </c>
      <c r="D109">
        <v>-71.068700000000007</v>
      </c>
      <c r="E109">
        <v>29938</v>
      </c>
      <c r="F109">
        <f t="shared" si="8"/>
        <v>0.11315783496996801</v>
      </c>
      <c r="G109">
        <f t="shared" si="9"/>
        <v>7.9590399554888336E-2</v>
      </c>
      <c r="H109">
        <f t="shared" si="10"/>
        <v>12.560519681666449</v>
      </c>
      <c r="I109">
        <f t="shared" si="11"/>
        <v>6.5662079632782877</v>
      </c>
      <c r="J109">
        <f t="shared" si="12"/>
        <v>14.173275616121682</v>
      </c>
      <c r="K109" t="str">
        <f t="shared" si="13"/>
        <v>Yes</v>
      </c>
      <c r="L109" t="str">
        <f t="shared" si="14"/>
        <v>No</v>
      </c>
      <c r="M109" t="str">
        <f t="shared" si="15"/>
        <v>no</v>
      </c>
    </row>
    <row r="110" spans="1:13" hidden="1" x14ac:dyDescent="0.35">
      <c r="A110" t="s">
        <v>98</v>
      </c>
      <c r="B110" t="s">
        <v>82</v>
      </c>
      <c r="C110">
        <v>42.85</v>
      </c>
      <c r="D110">
        <v>-71.083299999999994</v>
      </c>
      <c r="E110">
        <v>6810</v>
      </c>
      <c r="F110">
        <f t="shared" si="8"/>
        <v>0.50635783496996822</v>
      </c>
      <c r="G110">
        <f t="shared" si="9"/>
        <v>6.4990399554901046E-2</v>
      </c>
      <c r="H110">
        <f t="shared" si="10"/>
        <v>56.205719681666473</v>
      </c>
      <c r="I110">
        <f t="shared" si="11"/>
        <v>5.3617079632793363</v>
      </c>
      <c r="J110">
        <f t="shared" si="12"/>
        <v>56.460878820804439</v>
      </c>
      <c r="K110" t="str">
        <f t="shared" si="13"/>
        <v>No</v>
      </c>
      <c r="L110" t="str">
        <f t="shared" si="14"/>
        <v>No</v>
      </c>
      <c r="M110" t="str">
        <f t="shared" si="15"/>
        <v>no</v>
      </c>
    </row>
    <row r="111" spans="1:13" hidden="1" x14ac:dyDescent="0.35">
      <c r="A111" t="s">
        <v>99</v>
      </c>
      <c r="B111" t="s">
        <v>82</v>
      </c>
      <c r="C111">
        <v>42.716700000000003</v>
      </c>
      <c r="D111">
        <v>-71.2</v>
      </c>
      <c r="E111">
        <v>53043</v>
      </c>
      <c r="F111">
        <f t="shared" si="8"/>
        <v>0.3730578349699698</v>
      </c>
      <c r="G111">
        <f t="shared" si="9"/>
        <v>-5.170960044510764E-2</v>
      </c>
      <c r="H111">
        <f t="shared" si="10"/>
        <v>41.409419681666648</v>
      </c>
      <c r="I111">
        <f t="shared" si="11"/>
        <v>-4.2660420367213803</v>
      </c>
      <c r="J111">
        <f t="shared" si="12"/>
        <v>41.628585767852783</v>
      </c>
      <c r="K111" t="str">
        <f t="shared" si="13"/>
        <v>No</v>
      </c>
      <c r="L111" t="str">
        <f t="shared" si="14"/>
        <v>No</v>
      </c>
      <c r="M111" t="str">
        <f t="shared" si="15"/>
        <v>no</v>
      </c>
    </row>
    <row r="112" spans="1:13" hidden="1" x14ac:dyDescent="0.35">
      <c r="A112" t="s">
        <v>286</v>
      </c>
      <c r="B112" t="s">
        <v>270</v>
      </c>
      <c r="C112">
        <v>41.95</v>
      </c>
      <c r="D112">
        <v>-70.883300000000006</v>
      </c>
      <c r="E112">
        <v>24847</v>
      </c>
      <c r="F112">
        <f t="shared" si="8"/>
        <v>-0.39364216503003036</v>
      </c>
      <c r="G112">
        <f t="shared" si="9"/>
        <v>0.26499039955488968</v>
      </c>
      <c r="H112">
        <f t="shared" si="10"/>
        <v>-43.694280318333369</v>
      </c>
      <c r="I112">
        <f t="shared" si="11"/>
        <v>21.861707963278398</v>
      </c>
      <c r="J112">
        <f t="shared" si="12"/>
        <v>48.858207167360995</v>
      </c>
      <c r="K112" t="str">
        <f t="shared" si="13"/>
        <v>No</v>
      </c>
      <c r="L112" t="str">
        <f t="shared" si="14"/>
        <v>No</v>
      </c>
      <c r="M112" t="str">
        <f t="shared" si="15"/>
        <v>no</v>
      </c>
    </row>
    <row r="113" spans="1:13" hidden="1" x14ac:dyDescent="0.35">
      <c r="A113" t="s">
        <v>100</v>
      </c>
      <c r="B113" t="s">
        <v>82</v>
      </c>
      <c r="C113">
        <v>42.616700000000002</v>
      </c>
      <c r="D113">
        <v>-71.05</v>
      </c>
      <c r="E113">
        <v>9959</v>
      </c>
      <c r="F113">
        <f t="shared" si="8"/>
        <v>0.27305783496996838</v>
      </c>
      <c r="G113">
        <f t="shared" si="9"/>
        <v>9.8290399554898045E-2</v>
      </c>
      <c r="H113">
        <f t="shared" si="10"/>
        <v>30.30941968166649</v>
      </c>
      <c r="I113">
        <f t="shared" si="11"/>
        <v>8.1089579632790887</v>
      </c>
      <c r="J113">
        <f t="shared" si="12"/>
        <v>31.375406303179876</v>
      </c>
      <c r="K113" t="str">
        <f t="shared" si="13"/>
        <v>No</v>
      </c>
      <c r="L113" t="str">
        <f t="shared" si="14"/>
        <v>No</v>
      </c>
      <c r="M113" t="str">
        <f t="shared" si="15"/>
        <v>no</v>
      </c>
    </row>
    <row r="114" spans="1:13" hidden="1" x14ac:dyDescent="0.35">
      <c r="A114" t="s">
        <v>255</v>
      </c>
      <c r="B114" t="s">
        <v>243</v>
      </c>
      <c r="C114">
        <v>42.2</v>
      </c>
      <c r="D114">
        <v>-71.366699999999994</v>
      </c>
      <c r="E114">
        <v>9338</v>
      </c>
      <c r="F114">
        <f t="shared" si="8"/>
        <v>-0.14364216503003036</v>
      </c>
      <c r="G114">
        <f t="shared" si="9"/>
        <v>-0.21840960044509927</v>
      </c>
      <c r="H114">
        <f t="shared" si="10"/>
        <v>-15.944280318333369</v>
      </c>
      <c r="I114">
        <f t="shared" si="11"/>
        <v>-18.01879203672069</v>
      </c>
      <c r="J114">
        <f t="shared" si="12"/>
        <v>24.060277249694813</v>
      </c>
      <c r="K114" t="str">
        <f t="shared" si="13"/>
        <v>No</v>
      </c>
      <c r="L114" t="str">
        <f t="shared" si="14"/>
        <v>No</v>
      </c>
      <c r="M114" t="str">
        <f t="shared" si="15"/>
        <v>no</v>
      </c>
    </row>
    <row r="115" spans="1:13" x14ac:dyDescent="0.35">
      <c r="A115" t="s">
        <v>256</v>
      </c>
      <c r="B115" t="s">
        <v>243</v>
      </c>
      <c r="C115">
        <v>42.2667</v>
      </c>
      <c r="D115">
        <v>-71.066699999999997</v>
      </c>
      <c r="E115">
        <v>28811</v>
      </c>
      <c r="F115">
        <f t="shared" si="8"/>
        <v>-7.6942165030033038E-2</v>
      </c>
      <c r="G115">
        <f t="shared" si="9"/>
        <v>8.1590399554897886E-2</v>
      </c>
      <c r="H115">
        <f t="shared" si="10"/>
        <v>-8.5405803183336673</v>
      </c>
      <c r="I115">
        <f t="shared" si="11"/>
        <v>6.7312079632790756</v>
      </c>
      <c r="J115">
        <f t="shared" si="12"/>
        <v>10.874312521664073</v>
      </c>
      <c r="K115" t="str">
        <f t="shared" si="13"/>
        <v>Yes</v>
      </c>
      <c r="L115" t="str">
        <f t="shared" si="14"/>
        <v>No</v>
      </c>
      <c r="M115" t="str">
        <f t="shared" si="15"/>
        <v>no</v>
      </c>
    </row>
    <row r="116" spans="1:13" hidden="1" x14ac:dyDescent="0.35">
      <c r="A116" t="s">
        <v>101</v>
      </c>
      <c r="B116" t="s">
        <v>82</v>
      </c>
      <c r="C116">
        <v>42.433300000000003</v>
      </c>
      <c r="D116">
        <v>-70.916700000000006</v>
      </c>
      <c r="E116">
        <v>3338</v>
      </c>
      <c r="F116">
        <f t="shared" si="8"/>
        <v>8.9657834969969485E-2</v>
      </c>
      <c r="G116">
        <f t="shared" si="9"/>
        <v>0.23159039955488936</v>
      </c>
      <c r="H116">
        <f t="shared" si="10"/>
        <v>9.9520196816666129</v>
      </c>
      <c r="I116">
        <f t="shared" si="11"/>
        <v>19.106207963278372</v>
      </c>
      <c r="J116">
        <f t="shared" si="12"/>
        <v>21.542745379368931</v>
      </c>
      <c r="K116" t="str">
        <f t="shared" si="13"/>
        <v>No</v>
      </c>
      <c r="L116" t="str">
        <f t="shared" si="14"/>
        <v>No</v>
      </c>
      <c r="M116" t="str">
        <f t="shared" si="15"/>
        <v>no</v>
      </c>
    </row>
    <row r="117" spans="1:13" hidden="1" x14ac:dyDescent="0.35">
      <c r="A117" t="s">
        <v>241</v>
      </c>
      <c r="B117" t="s">
        <v>241</v>
      </c>
      <c r="C117">
        <v>41.283499999999997</v>
      </c>
      <c r="D117">
        <v>-70.099500000000006</v>
      </c>
      <c r="E117">
        <v>14670</v>
      </c>
      <c r="F117">
        <f t="shared" si="8"/>
        <v>-1.0601421650300367</v>
      </c>
      <c r="G117">
        <f t="shared" si="9"/>
        <v>1.0487903995548891</v>
      </c>
      <c r="H117">
        <f t="shared" si="10"/>
        <v>-117.67578031833406</v>
      </c>
      <c r="I117">
        <f t="shared" si="11"/>
        <v>86.525207963278348</v>
      </c>
      <c r="J117">
        <f t="shared" si="12"/>
        <v>146.06231850349832</v>
      </c>
      <c r="K117" t="str">
        <f t="shared" si="13"/>
        <v>No</v>
      </c>
      <c r="L117" t="str">
        <f t="shared" si="14"/>
        <v>No</v>
      </c>
      <c r="M117" t="str">
        <f t="shared" si="15"/>
        <v>no</v>
      </c>
    </row>
    <row r="118" spans="1:13" hidden="1" x14ac:dyDescent="0.35">
      <c r="A118" t="s">
        <v>218</v>
      </c>
      <c r="B118" t="s">
        <v>187</v>
      </c>
      <c r="C118">
        <v>42.283299999999997</v>
      </c>
      <c r="D118">
        <v>-71.349999999999994</v>
      </c>
      <c r="E118">
        <v>37316</v>
      </c>
      <c r="F118">
        <f t="shared" si="8"/>
        <v>-6.0342165030036199E-2</v>
      </c>
      <c r="G118">
        <f t="shared" si="9"/>
        <v>-0.20170960044509911</v>
      </c>
      <c r="H118">
        <f t="shared" si="10"/>
        <v>-6.6979803183340181</v>
      </c>
      <c r="I118">
        <f t="shared" si="11"/>
        <v>-16.641042036720677</v>
      </c>
      <c r="J118">
        <f t="shared" si="12"/>
        <v>17.938428593739602</v>
      </c>
      <c r="K118" t="str">
        <f t="shared" si="13"/>
        <v>No</v>
      </c>
      <c r="L118" t="str">
        <f t="shared" si="14"/>
        <v>No</v>
      </c>
      <c r="M118" t="str">
        <f t="shared" si="15"/>
        <v>no</v>
      </c>
    </row>
    <row r="119" spans="1:13" x14ac:dyDescent="0.35">
      <c r="A119" t="s">
        <v>257</v>
      </c>
      <c r="B119" t="s">
        <v>243</v>
      </c>
      <c r="C119">
        <v>42.283299999999997</v>
      </c>
      <c r="D119">
        <v>-71.2333</v>
      </c>
      <c r="E119">
        <v>32931</v>
      </c>
      <c r="F119">
        <f t="shared" si="8"/>
        <v>-6.0342165030036199E-2</v>
      </c>
      <c r="G119">
        <f t="shared" si="9"/>
        <v>-8.5009600445104638E-2</v>
      </c>
      <c r="H119">
        <f t="shared" si="10"/>
        <v>-6.6979803183340181</v>
      </c>
      <c r="I119">
        <f t="shared" si="11"/>
        <v>-7.0132920367211327</v>
      </c>
      <c r="J119">
        <f t="shared" si="12"/>
        <v>9.6978969646581579</v>
      </c>
      <c r="K119" t="str">
        <f t="shared" si="13"/>
        <v>Yes</v>
      </c>
      <c r="L119" t="str">
        <f t="shared" si="14"/>
        <v>No</v>
      </c>
      <c r="M119" t="str">
        <f t="shared" si="15"/>
        <v>Yes</v>
      </c>
    </row>
    <row r="120" spans="1:13" hidden="1" x14ac:dyDescent="0.35">
      <c r="A120" t="s">
        <v>63</v>
      </c>
      <c r="B120" t="s">
        <v>53</v>
      </c>
      <c r="C120">
        <v>41.636200000000002</v>
      </c>
      <c r="D120">
        <v>-71.199299999999994</v>
      </c>
      <c r="E120">
        <v>101318</v>
      </c>
      <c r="F120">
        <f t="shared" si="8"/>
        <v>-0.70744216503003088</v>
      </c>
      <c r="G120">
        <f t="shared" si="9"/>
        <v>-5.1009600445098613E-2</v>
      </c>
      <c r="H120">
        <f t="shared" si="10"/>
        <v>-78.526080318333427</v>
      </c>
      <c r="I120">
        <f t="shared" si="11"/>
        <v>-4.2082920367206356</v>
      </c>
      <c r="J120">
        <f t="shared" si="12"/>
        <v>78.638762782915649</v>
      </c>
      <c r="K120" t="str">
        <f t="shared" si="13"/>
        <v>No</v>
      </c>
      <c r="L120" t="str">
        <f t="shared" si="14"/>
        <v>No</v>
      </c>
      <c r="M120" t="str">
        <f t="shared" si="15"/>
        <v>no</v>
      </c>
    </row>
    <row r="121" spans="1:13" hidden="1" x14ac:dyDescent="0.35">
      <c r="A121" t="s">
        <v>102</v>
      </c>
      <c r="B121" t="s">
        <v>82</v>
      </c>
      <c r="C121">
        <v>42.816699999999997</v>
      </c>
      <c r="D121">
        <v>-70.900000000000006</v>
      </c>
      <c r="E121">
        <v>6880</v>
      </c>
      <c r="F121">
        <f t="shared" si="8"/>
        <v>0.47305783496996412</v>
      </c>
      <c r="G121">
        <f t="shared" si="9"/>
        <v>0.24829039955488952</v>
      </c>
      <c r="H121">
        <f t="shared" si="10"/>
        <v>52.509419681666017</v>
      </c>
      <c r="I121">
        <f t="shared" si="11"/>
        <v>20.483957963278385</v>
      </c>
      <c r="J121">
        <f t="shared" si="12"/>
        <v>56.363389617256786</v>
      </c>
      <c r="K121" t="str">
        <f t="shared" si="13"/>
        <v>No</v>
      </c>
      <c r="L121" t="str">
        <f t="shared" si="14"/>
        <v>No</v>
      </c>
      <c r="M121" t="str">
        <f t="shared" si="15"/>
        <v>no</v>
      </c>
    </row>
    <row r="122" spans="1:13" hidden="1" x14ac:dyDescent="0.35">
      <c r="A122" t="s">
        <v>103</v>
      </c>
      <c r="B122" t="s">
        <v>82</v>
      </c>
      <c r="C122">
        <v>42.812600000000003</v>
      </c>
      <c r="D122">
        <v>-70.878500000000003</v>
      </c>
      <c r="E122">
        <v>19163</v>
      </c>
      <c r="F122">
        <f t="shared" si="8"/>
        <v>0.46895783496997012</v>
      </c>
      <c r="G122">
        <f t="shared" si="9"/>
        <v>0.2697903995548927</v>
      </c>
      <c r="H122">
        <f t="shared" si="10"/>
        <v>52.054319681666684</v>
      </c>
      <c r="I122">
        <f t="shared" si="11"/>
        <v>22.257707963278648</v>
      </c>
      <c r="J122">
        <f t="shared" si="12"/>
        <v>56.613229560763877</v>
      </c>
      <c r="K122" t="str">
        <f t="shared" si="13"/>
        <v>No</v>
      </c>
      <c r="L122" t="str">
        <f t="shared" si="14"/>
        <v>No</v>
      </c>
      <c r="M122" t="str">
        <f t="shared" si="15"/>
        <v>no</v>
      </c>
    </row>
    <row r="123" spans="1:13" x14ac:dyDescent="0.35">
      <c r="A123" t="s">
        <v>219</v>
      </c>
      <c r="B123" t="s">
        <v>187</v>
      </c>
      <c r="C123">
        <v>42.337000000000003</v>
      </c>
      <c r="D123">
        <v>-71.209299999999999</v>
      </c>
      <c r="E123">
        <v>90700</v>
      </c>
      <c r="F123">
        <f t="shared" si="8"/>
        <v>-6.6421650300299007E-3</v>
      </c>
      <c r="G123">
        <f t="shared" si="9"/>
        <v>-6.1009600445103729E-2</v>
      </c>
      <c r="H123">
        <f t="shared" si="10"/>
        <v>-0.73728031833331897</v>
      </c>
      <c r="I123">
        <f t="shared" si="11"/>
        <v>-5.0332920367210576</v>
      </c>
      <c r="J123">
        <f t="shared" si="12"/>
        <v>5.087004127649327</v>
      </c>
      <c r="K123" t="str">
        <f t="shared" si="13"/>
        <v>Yes</v>
      </c>
      <c r="L123" t="str">
        <f t="shared" si="14"/>
        <v>No</v>
      </c>
      <c r="M123" t="str">
        <f t="shared" si="15"/>
        <v>Yes</v>
      </c>
    </row>
    <row r="124" spans="1:13" hidden="1" x14ac:dyDescent="0.35">
      <c r="A124" t="s">
        <v>243</v>
      </c>
      <c r="B124" t="s">
        <v>243</v>
      </c>
      <c r="C124">
        <v>42.166699999999999</v>
      </c>
      <c r="D124">
        <v>-71.3</v>
      </c>
      <c r="E124">
        <v>11962</v>
      </c>
      <c r="F124">
        <f t="shared" si="8"/>
        <v>-0.17694216503003446</v>
      </c>
      <c r="G124">
        <f t="shared" si="9"/>
        <v>-0.15170960044510196</v>
      </c>
      <c r="H124">
        <f t="shared" si="10"/>
        <v>-19.640580318333825</v>
      </c>
      <c r="I124">
        <f t="shared" si="11"/>
        <v>-12.516042036720911</v>
      </c>
      <c r="J124">
        <f t="shared" si="12"/>
        <v>23.28956211494512</v>
      </c>
      <c r="K124" t="str">
        <f t="shared" si="13"/>
        <v>No</v>
      </c>
      <c r="L124" t="str">
        <f t="shared" si="14"/>
        <v>No</v>
      </c>
      <c r="M124" t="str">
        <f t="shared" si="15"/>
        <v>no</v>
      </c>
    </row>
    <row r="125" spans="1:13" hidden="1" x14ac:dyDescent="0.35">
      <c r="A125" t="s">
        <v>104</v>
      </c>
      <c r="B125" t="s">
        <v>82</v>
      </c>
      <c r="C125">
        <v>42.708300000000001</v>
      </c>
      <c r="D125">
        <v>-71.133300000000006</v>
      </c>
      <c r="E125">
        <v>32135</v>
      </c>
      <c r="F125">
        <f t="shared" si="8"/>
        <v>0.36465783496996806</v>
      </c>
      <c r="G125">
        <f t="shared" si="9"/>
        <v>1.4990399554889677E-2</v>
      </c>
      <c r="H125">
        <f t="shared" si="10"/>
        <v>40.477019681666455</v>
      </c>
      <c r="I125">
        <f t="shared" si="11"/>
        <v>1.2367079632783984</v>
      </c>
      <c r="J125">
        <f t="shared" si="12"/>
        <v>40.495908051264266</v>
      </c>
      <c r="K125" t="str">
        <f t="shared" si="13"/>
        <v>No</v>
      </c>
      <c r="L125" t="str">
        <f t="shared" si="14"/>
        <v>No</v>
      </c>
      <c r="M125" t="str">
        <f t="shared" si="15"/>
        <v>no</v>
      </c>
    </row>
    <row r="126" spans="1:13" hidden="1" x14ac:dyDescent="0.35">
      <c r="A126" t="s">
        <v>64</v>
      </c>
      <c r="B126" t="s">
        <v>53</v>
      </c>
      <c r="C126">
        <v>42.008800000000001</v>
      </c>
      <c r="D126">
        <v>-71.328800000000001</v>
      </c>
      <c r="E126">
        <v>31210</v>
      </c>
      <c r="F126">
        <f t="shared" si="8"/>
        <v>-0.33484216503003239</v>
      </c>
      <c r="G126">
        <f t="shared" si="9"/>
        <v>-0.18050960044510589</v>
      </c>
      <c r="H126">
        <f t="shared" si="10"/>
        <v>-37.167480318333595</v>
      </c>
      <c r="I126">
        <f t="shared" si="11"/>
        <v>-14.892042036721236</v>
      </c>
      <c r="J126">
        <f t="shared" si="12"/>
        <v>40.039911453912929</v>
      </c>
      <c r="K126" t="str">
        <f t="shared" si="13"/>
        <v>No</v>
      </c>
      <c r="L126" t="str">
        <f t="shared" si="14"/>
        <v>No</v>
      </c>
      <c r="M126" t="str">
        <f t="shared" si="15"/>
        <v>no</v>
      </c>
    </row>
    <row r="127" spans="1:13" hidden="1" x14ac:dyDescent="0.35">
      <c r="A127" t="s">
        <v>220</v>
      </c>
      <c r="B127" t="s">
        <v>187</v>
      </c>
      <c r="C127">
        <v>42.566699999999997</v>
      </c>
      <c r="D127">
        <v>-71.099999999999994</v>
      </c>
      <c r="E127">
        <v>16379</v>
      </c>
      <c r="F127">
        <f t="shared" si="8"/>
        <v>0.22305783496996412</v>
      </c>
      <c r="G127">
        <f t="shared" si="9"/>
        <v>4.8290399554900887E-2</v>
      </c>
      <c r="H127">
        <f t="shared" si="10"/>
        <v>24.759419681666017</v>
      </c>
      <c r="I127">
        <f t="shared" si="11"/>
        <v>3.9839579632793232</v>
      </c>
      <c r="J127">
        <f t="shared" si="12"/>
        <v>25.077894329988059</v>
      </c>
      <c r="K127" t="str">
        <f t="shared" si="13"/>
        <v>No</v>
      </c>
      <c r="L127" t="str">
        <f t="shared" si="14"/>
        <v>No</v>
      </c>
      <c r="M127" t="str">
        <f t="shared" si="15"/>
        <v>no</v>
      </c>
    </row>
    <row r="128" spans="1:13" hidden="1" x14ac:dyDescent="0.35">
      <c r="A128" t="s">
        <v>65</v>
      </c>
      <c r="B128" t="s">
        <v>53</v>
      </c>
      <c r="C128">
        <v>42.027200000000001</v>
      </c>
      <c r="D128">
        <v>-71.195499999999996</v>
      </c>
      <c r="E128">
        <v>19392</v>
      </c>
      <c r="F128">
        <f t="shared" si="8"/>
        <v>-0.31644216503003264</v>
      </c>
      <c r="G128">
        <f t="shared" si="9"/>
        <v>-4.7209600445100364E-2</v>
      </c>
      <c r="H128">
        <f t="shared" si="10"/>
        <v>-35.125080318333623</v>
      </c>
      <c r="I128">
        <f t="shared" si="11"/>
        <v>-3.89479203672078</v>
      </c>
      <c r="J128">
        <f t="shared" si="12"/>
        <v>35.340354729101001</v>
      </c>
      <c r="K128" t="str">
        <f t="shared" si="13"/>
        <v>No</v>
      </c>
      <c r="L128" t="str">
        <f t="shared" si="14"/>
        <v>No</v>
      </c>
      <c r="M128" t="str">
        <f t="shared" si="15"/>
        <v>no</v>
      </c>
    </row>
    <row r="129" spans="1:13" hidden="1" x14ac:dyDescent="0.35">
      <c r="A129" t="s">
        <v>287</v>
      </c>
      <c r="B129" t="s">
        <v>270</v>
      </c>
      <c r="C129">
        <v>42.15</v>
      </c>
      <c r="D129">
        <v>-70.833299999999994</v>
      </c>
      <c r="E129">
        <v>11477</v>
      </c>
      <c r="F129">
        <f t="shared" si="8"/>
        <v>-0.19364216503003462</v>
      </c>
      <c r="G129">
        <f t="shared" si="9"/>
        <v>0.31499039955490105</v>
      </c>
      <c r="H129">
        <f t="shared" si="10"/>
        <v>-21.494280318333843</v>
      </c>
      <c r="I129">
        <f t="shared" si="11"/>
        <v>25.986707963279336</v>
      </c>
      <c r="J129">
        <f t="shared" si="12"/>
        <v>33.724072665855161</v>
      </c>
      <c r="K129" t="str">
        <f t="shared" si="13"/>
        <v>No</v>
      </c>
      <c r="L129" t="str">
        <f t="shared" si="14"/>
        <v>No</v>
      </c>
      <c r="M129" t="str">
        <f t="shared" si="15"/>
        <v>no</v>
      </c>
    </row>
    <row r="130" spans="1:13" hidden="1" x14ac:dyDescent="0.35">
      <c r="A130" t="s">
        <v>258</v>
      </c>
      <c r="B130" t="s">
        <v>243</v>
      </c>
      <c r="C130">
        <v>42.194600000000001</v>
      </c>
      <c r="D130">
        <v>-71.195400000000006</v>
      </c>
      <c r="E130">
        <v>31764</v>
      </c>
      <c r="F130">
        <f t="shared" si="8"/>
        <v>-0.14904216503003198</v>
      </c>
      <c r="G130">
        <f t="shared" si="9"/>
        <v>-4.7109600445111255E-2</v>
      </c>
      <c r="H130">
        <f t="shared" si="10"/>
        <v>-16.54368031833355</v>
      </c>
      <c r="I130">
        <f t="shared" si="11"/>
        <v>-3.8865420367216785</v>
      </c>
      <c r="J130">
        <f t="shared" si="12"/>
        <v>16.994074481372078</v>
      </c>
      <c r="K130" t="str">
        <f t="shared" si="13"/>
        <v>No</v>
      </c>
      <c r="L130" t="str">
        <f t="shared" si="14"/>
        <v>No</v>
      </c>
      <c r="M130" t="str">
        <f t="shared" si="15"/>
        <v>no</v>
      </c>
    </row>
    <row r="131" spans="1:13" hidden="1" x14ac:dyDescent="0.35">
      <c r="A131" t="s">
        <v>78</v>
      </c>
      <c r="B131" t="s">
        <v>74</v>
      </c>
      <c r="C131">
        <v>41.45</v>
      </c>
      <c r="D131">
        <v>-70.55</v>
      </c>
      <c r="E131">
        <v>5407</v>
      </c>
      <c r="F131">
        <f t="shared" si="8"/>
        <v>-0.89364216503003036</v>
      </c>
      <c r="G131">
        <f t="shared" si="9"/>
        <v>0.59829039955489804</v>
      </c>
      <c r="H131">
        <f t="shared" si="10"/>
        <v>-99.194280318333369</v>
      </c>
      <c r="I131">
        <f t="shared" si="11"/>
        <v>49.358957963279089</v>
      </c>
      <c r="J131">
        <f t="shared" si="12"/>
        <v>110.79626338055292</v>
      </c>
      <c r="K131" t="str">
        <f t="shared" si="13"/>
        <v>No</v>
      </c>
      <c r="L131" t="str">
        <f t="shared" si="14"/>
        <v>No</v>
      </c>
      <c r="M131" t="str">
        <f t="shared" si="15"/>
        <v>no</v>
      </c>
    </row>
    <row r="132" spans="1:13" hidden="1" x14ac:dyDescent="0.35">
      <c r="A132" t="s">
        <v>13</v>
      </c>
      <c r="B132" t="s">
        <v>4</v>
      </c>
      <c r="C132">
        <v>41.786799999999999</v>
      </c>
      <c r="D132">
        <v>-70.001300000000001</v>
      </c>
      <c r="E132">
        <v>6485</v>
      </c>
      <c r="F132">
        <f t="shared" si="8"/>
        <v>-0.5568421650300337</v>
      </c>
      <c r="G132">
        <f t="shared" si="9"/>
        <v>1.1469903995548947</v>
      </c>
      <c r="H132">
        <f t="shared" si="10"/>
        <v>-61.80948031833374</v>
      </c>
      <c r="I132">
        <f t="shared" si="11"/>
        <v>94.626707963278818</v>
      </c>
      <c r="J132">
        <f t="shared" si="12"/>
        <v>113.02488981277594</v>
      </c>
      <c r="K132" t="str">
        <f t="shared" si="13"/>
        <v>No</v>
      </c>
      <c r="L132" t="str">
        <f t="shared" si="14"/>
        <v>No</v>
      </c>
      <c r="M132" t="str">
        <f t="shared" si="15"/>
        <v>no</v>
      </c>
    </row>
    <row r="133" spans="1:13" hidden="1" x14ac:dyDescent="0.35">
      <c r="A133" t="s">
        <v>105</v>
      </c>
      <c r="B133" t="s">
        <v>82</v>
      </c>
      <c r="C133">
        <v>42.533299999999997</v>
      </c>
      <c r="D133">
        <v>-70.933300000000003</v>
      </c>
      <c r="E133">
        <v>55418</v>
      </c>
      <c r="F133">
        <f t="shared" si="8"/>
        <v>0.1896578349699638</v>
      </c>
      <c r="G133">
        <f t="shared" si="9"/>
        <v>0.21499039955489252</v>
      </c>
      <c r="H133">
        <f t="shared" si="10"/>
        <v>21.052019681665982</v>
      </c>
      <c r="I133">
        <f t="shared" si="11"/>
        <v>17.736707963278633</v>
      </c>
      <c r="J133">
        <f t="shared" si="12"/>
        <v>27.527774011929907</v>
      </c>
      <c r="K133" t="str">
        <f t="shared" si="13"/>
        <v>No</v>
      </c>
      <c r="L133" t="str">
        <f t="shared" si="14"/>
        <v>No</v>
      </c>
      <c r="M133" t="str">
        <f t="shared" si="15"/>
        <v>no</v>
      </c>
    </row>
    <row r="134" spans="1:13" hidden="1" x14ac:dyDescent="0.35">
      <c r="A134" t="s">
        <v>288</v>
      </c>
      <c r="B134" t="s">
        <v>270</v>
      </c>
      <c r="C134">
        <v>42.033299999999997</v>
      </c>
      <c r="D134">
        <v>-70.7667</v>
      </c>
      <c r="E134">
        <v>18428</v>
      </c>
      <c r="F134">
        <f t="shared" si="8"/>
        <v>-0.3103421650300362</v>
      </c>
      <c r="G134">
        <f t="shared" si="9"/>
        <v>0.38159039955489504</v>
      </c>
      <c r="H134">
        <f t="shared" si="10"/>
        <v>-34.447980318334018</v>
      </c>
      <c r="I134">
        <f t="shared" si="11"/>
        <v>31.481207963278841</v>
      </c>
      <c r="J134">
        <f t="shared" si="12"/>
        <v>46.666152646640356</v>
      </c>
      <c r="K134" t="str">
        <f t="shared" si="13"/>
        <v>No</v>
      </c>
      <c r="L134" t="str">
        <f t="shared" si="14"/>
        <v>No</v>
      </c>
      <c r="M134" t="str">
        <f t="shared" si="15"/>
        <v>no</v>
      </c>
    </row>
    <row r="135" spans="1:13" hidden="1" x14ac:dyDescent="0.35">
      <c r="A135" t="s">
        <v>221</v>
      </c>
      <c r="B135" t="s">
        <v>187</v>
      </c>
      <c r="C135">
        <v>42.65</v>
      </c>
      <c r="D135">
        <v>-71.599999999999994</v>
      </c>
      <c r="E135">
        <v>11877</v>
      </c>
      <c r="F135">
        <f t="shared" si="8"/>
        <v>0.30635783496996538</v>
      </c>
      <c r="G135">
        <f t="shared" si="9"/>
        <v>-0.45170960044509911</v>
      </c>
      <c r="H135">
        <f t="shared" si="10"/>
        <v>34.005719681666157</v>
      </c>
      <c r="I135">
        <f t="shared" si="11"/>
        <v>-37.266042036720677</v>
      </c>
      <c r="J135">
        <f t="shared" si="12"/>
        <v>50.449448561413327</v>
      </c>
      <c r="K135" t="str">
        <f t="shared" si="13"/>
        <v>No</v>
      </c>
      <c r="L135" t="str">
        <f t="shared" si="14"/>
        <v>No</v>
      </c>
      <c r="M135" t="str">
        <f t="shared" si="15"/>
        <v>no</v>
      </c>
    </row>
    <row r="136" spans="1:13" hidden="1" x14ac:dyDescent="0.35">
      <c r="A136" t="s">
        <v>259</v>
      </c>
      <c r="B136" t="s">
        <v>243</v>
      </c>
      <c r="C136">
        <v>42</v>
      </c>
      <c r="D136">
        <v>-71.45</v>
      </c>
      <c r="E136">
        <v>10067</v>
      </c>
      <c r="F136">
        <f t="shared" si="8"/>
        <v>-0.3436421650300332</v>
      </c>
      <c r="G136">
        <f t="shared" si="9"/>
        <v>-0.30170960044510764</v>
      </c>
      <c r="H136">
        <f t="shared" si="10"/>
        <v>-38.144280318333685</v>
      </c>
      <c r="I136">
        <f t="shared" si="11"/>
        <v>-24.89104203672138</v>
      </c>
      <c r="J136">
        <f t="shared" si="12"/>
        <v>45.547229275527279</v>
      </c>
      <c r="K136" t="str">
        <f t="shared" si="13"/>
        <v>No</v>
      </c>
      <c r="L136" t="str">
        <f t="shared" si="14"/>
        <v>No</v>
      </c>
      <c r="M136" t="str">
        <f t="shared" si="15"/>
        <v>no</v>
      </c>
    </row>
    <row r="137" spans="1:13" hidden="1" x14ac:dyDescent="0.35">
      <c r="A137" t="s">
        <v>270</v>
      </c>
      <c r="B137" t="s">
        <v>270</v>
      </c>
      <c r="C137">
        <v>41.958300000000001</v>
      </c>
      <c r="D137">
        <v>-70.6631</v>
      </c>
      <c r="E137">
        <v>66663</v>
      </c>
      <c r="F137">
        <f t="shared" ref="F137:F197" si="16">C137-$C$2</f>
        <v>-0.38534216503003194</v>
      </c>
      <c r="G137">
        <f t="shared" ref="G137:G197" si="17">D137-$D$2</f>
        <v>0.48519039955489518</v>
      </c>
      <c r="H137">
        <f t="shared" ref="H137:H197" si="18">111*F137</f>
        <v>-42.772980318333545</v>
      </c>
      <c r="I137">
        <f t="shared" ref="I137:I197" si="19">G137*82.5</f>
        <v>40.028207963278852</v>
      </c>
      <c r="J137">
        <f t="shared" ref="J137:J197" si="20">SQRT(H137^2+I137^2)</f>
        <v>58.581441413335412</v>
      </c>
      <c r="K137" t="str">
        <f t="shared" ref="K137:K197" si="21">IF(J137&lt;=15,"Yes","No")</f>
        <v>No</v>
      </c>
      <c r="L137" t="str">
        <f t="shared" ref="L137:L197" si="22">IF(J137&lt;=5,"Yes","No")</f>
        <v>No</v>
      </c>
      <c r="M137" t="str">
        <f t="shared" ref="M137:M197" si="23">IF(J137&lt;=10,"Yes","no")</f>
        <v>no</v>
      </c>
    </row>
    <row r="138" spans="1:13" hidden="1" x14ac:dyDescent="0.35">
      <c r="A138" t="s">
        <v>289</v>
      </c>
      <c r="B138" t="s">
        <v>270</v>
      </c>
      <c r="C138">
        <v>41.95</v>
      </c>
      <c r="D138">
        <v>-70.7333</v>
      </c>
      <c r="E138">
        <v>2964</v>
      </c>
      <c r="F138">
        <f t="shared" si="16"/>
        <v>-0.39364216503003036</v>
      </c>
      <c r="G138">
        <f t="shared" si="17"/>
        <v>0.41499039955489536</v>
      </c>
      <c r="H138">
        <f t="shared" si="18"/>
        <v>-43.694280318333369</v>
      </c>
      <c r="I138">
        <f t="shared" si="19"/>
        <v>34.236707963278867</v>
      </c>
      <c r="J138">
        <f t="shared" si="20"/>
        <v>55.509839710630921</v>
      </c>
      <c r="K138" t="str">
        <f t="shared" si="21"/>
        <v>No</v>
      </c>
      <c r="L138" t="str">
        <f t="shared" si="22"/>
        <v>No</v>
      </c>
      <c r="M138" t="str">
        <f t="shared" si="23"/>
        <v>no</v>
      </c>
    </row>
    <row r="139" spans="1:13" hidden="1" x14ac:dyDescent="0.35">
      <c r="A139" t="s">
        <v>14</v>
      </c>
      <c r="B139" t="s">
        <v>4</v>
      </c>
      <c r="C139">
        <v>42.050400000000003</v>
      </c>
      <c r="D139">
        <v>-70.189499999999995</v>
      </c>
      <c r="E139">
        <v>3729</v>
      </c>
      <c r="F139">
        <f t="shared" si="16"/>
        <v>-0.29324216503002987</v>
      </c>
      <c r="G139">
        <f t="shared" si="17"/>
        <v>0.95879039955489986</v>
      </c>
      <c r="H139">
        <f t="shared" si="18"/>
        <v>-32.549880318333315</v>
      </c>
      <c r="I139">
        <f t="shared" si="19"/>
        <v>79.100207963279246</v>
      </c>
      <c r="J139">
        <f t="shared" si="20"/>
        <v>85.535592641729252</v>
      </c>
      <c r="K139" t="str">
        <f t="shared" si="21"/>
        <v>No</v>
      </c>
      <c r="L139" t="str">
        <f t="shared" si="22"/>
        <v>No</v>
      </c>
      <c r="M139" t="str">
        <f t="shared" si="23"/>
        <v>no</v>
      </c>
    </row>
    <row r="140" spans="1:13" hidden="1" x14ac:dyDescent="0.35">
      <c r="A140" t="s">
        <v>260</v>
      </c>
      <c r="B140" t="s">
        <v>243</v>
      </c>
      <c r="C140">
        <v>42.252699999999997</v>
      </c>
      <c r="D140">
        <v>-71.009600000000006</v>
      </c>
      <c r="E140">
        <v>103434</v>
      </c>
      <c r="F140">
        <f t="shared" si="16"/>
        <v>-9.0942165030035937E-2</v>
      </c>
      <c r="G140">
        <f t="shared" si="17"/>
        <v>0.13869039955488915</v>
      </c>
      <c r="H140">
        <f t="shared" si="18"/>
        <v>-10.094580318333989</v>
      </c>
      <c r="I140">
        <f t="shared" si="19"/>
        <v>11.441957963278355</v>
      </c>
      <c r="J140">
        <f t="shared" si="20"/>
        <v>15.258406005763673</v>
      </c>
      <c r="K140" t="str">
        <f t="shared" si="21"/>
        <v>No</v>
      </c>
      <c r="L140" t="str">
        <f t="shared" si="22"/>
        <v>No</v>
      </c>
      <c r="M140" t="str">
        <f t="shared" si="23"/>
        <v>no</v>
      </c>
    </row>
    <row r="141" spans="1:13" hidden="1" x14ac:dyDescent="0.35">
      <c r="A141" t="s">
        <v>261</v>
      </c>
      <c r="B141" t="s">
        <v>243</v>
      </c>
      <c r="C141">
        <v>42.166699999999999</v>
      </c>
      <c r="D141">
        <v>-71.066699999999997</v>
      </c>
      <c r="E141">
        <v>35114</v>
      </c>
      <c r="F141">
        <f t="shared" si="16"/>
        <v>-0.17694216503003446</v>
      </c>
      <c r="G141">
        <f t="shared" si="17"/>
        <v>8.1590399554897886E-2</v>
      </c>
      <c r="H141">
        <f t="shared" si="18"/>
        <v>-19.640580318333825</v>
      </c>
      <c r="I141">
        <f t="shared" si="19"/>
        <v>6.7312079632790756</v>
      </c>
      <c r="J141">
        <f t="shared" si="20"/>
        <v>20.762021960440983</v>
      </c>
      <c r="K141" t="str">
        <f t="shared" si="21"/>
        <v>No</v>
      </c>
      <c r="L141" t="str">
        <f t="shared" si="22"/>
        <v>No</v>
      </c>
      <c r="M141" t="str">
        <f t="shared" si="23"/>
        <v>no</v>
      </c>
    </row>
    <row r="142" spans="1:13" hidden="1" x14ac:dyDescent="0.35">
      <c r="A142" t="s">
        <v>66</v>
      </c>
      <c r="B142" t="s">
        <v>53</v>
      </c>
      <c r="C142">
        <v>42.083300000000001</v>
      </c>
      <c r="D142">
        <v>-71.083299999999994</v>
      </c>
      <c r="E142">
        <v>15861</v>
      </c>
      <c r="F142">
        <f t="shared" si="16"/>
        <v>-0.26034216503003194</v>
      </c>
      <c r="G142">
        <f t="shared" si="17"/>
        <v>6.4990399554901046E-2</v>
      </c>
      <c r="H142">
        <f t="shared" si="18"/>
        <v>-28.897980318333545</v>
      </c>
      <c r="I142">
        <f t="shared" si="19"/>
        <v>5.3617079632793363</v>
      </c>
      <c r="J142">
        <f t="shared" si="20"/>
        <v>29.391175185117827</v>
      </c>
      <c r="K142" t="str">
        <f t="shared" si="21"/>
        <v>No</v>
      </c>
      <c r="L142" t="str">
        <f t="shared" si="22"/>
        <v>No</v>
      </c>
      <c r="M142" t="str">
        <f t="shared" si="23"/>
        <v>no</v>
      </c>
    </row>
    <row r="143" spans="1:13" hidden="1" x14ac:dyDescent="0.35">
      <c r="A143" t="s">
        <v>222</v>
      </c>
      <c r="B143" t="s">
        <v>187</v>
      </c>
      <c r="C143">
        <v>42.533299999999997</v>
      </c>
      <c r="D143">
        <v>-71.083299999999994</v>
      </c>
      <c r="E143">
        <v>26041</v>
      </c>
      <c r="F143">
        <f t="shared" si="16"/>
        <v>0.1896578349699638</v>
      </c>
      <c r="G143">
        <f t="shared" si="17"/>
        <v>6.4990399554901046E-2</v>
      </c>
      <c r="H143">
        <f t="shared" si="18"/>
        <v>21.052019681665982</v>
      </c>
      <c r="I143">
        <f t="shared" si="19"/>
        <v>5.3617079632793363</v>
      </c>
      <c r="J143">
        <f t="shared" si="20"/>
        <v>21.724075238332816</v>
      </c>
      <c r="K143" t="str">
        <f t="shared" si="21"/>
        <v>No</v>
      </c>
      <c r="L143" t="str">
        <f t="shared" si="22"/>
        <v>No</v>
      </c>
      <c r="M143" t="str">
        <f t="shared" si="23"/>
        <v>no</v>
      </c>
    </row>
    <row r="144" spans="1:13" hidden="1" x14ac:dyDescent="0.35">
      <c r="A144" t="s">
        <v>67</v>
      </c>
      <c r="B144" t="s">
        <v>53</v>
      </c>
      <c r="C144">
        <v>41.9833</v>
      </c>
      <c r="D144">
        <v>-71.2333</v>
      </c>
      <c r="E144">
        <v>13537</v>
      </c>
      <c r="F144">
        <f t="shared" si="16"/>
        <v>-0.36034216503003336</v>
      </c>
      <c r="G144">
        <f t="shared" si="17"/>
        <v>-8.5009600445104638E-2</v>
      </c>
      <c r="H144">
        <f t="shared" si="18"/>
        <v>-39.997980318333703</v>
      </c>
      <c r="I144">
        <f t="shared" si="19"/>
        <v>-7.0132920367211327</v>
      </c>
      <c r="J144">
        <f t="shared" si="20"/>
        <v>40.608185070723692</v>
      </c>
      <c r="K144" t="str">
        <f t="shared" si="21"/>
        <v>No</v>
      </c>
      <c r="L144" t="str">
        <f t="shared" si="22"/>
        <v>No</v>
      </c>
      <c r="M144" t="str">
        <f t="shared" si="23"/>
        <v>no</v>
      </c>
    </row>
    <row r="145" spans="1:13" x14ac:dyDescent="0.35">
      <c r="A145" t="s">
        <v>299</v>
      </c>
      <c r="B145" t="s">
        <v>297</v>
      </c>
      <c r="C145">
        <v>42.4084</v>
      </c>
      <c r="D145">
        <v>-71.009600000000006</v>
      </c>
      <c r="E145">
        <v>60702</v>
      </c>
      <c r="F145">
        <f t="shared" si="16"/>
        <v>6.4757834969967121E-2</v>
      </c>
      <c r="G145">
        <f t="shared" si="17"/>
        <v>0.13869039955488915</v>
      </c>
      <c r="H145">
        <f t="shared" si="18"/>
        <v>7.1881196816663504</v>
      </c>
      <c r="I145">
        <f t="shared" si="19"/>
        <v>11.441957963278355</v>
      </c>
      <c r="J145">
        <f t="shared" si="20"/>
        <v>13.512492982103197</v>
      </c>
      <c r="K145" t="str">
        <f t="shared" si="21"/>
        <v>Yes</v>
      </c>
      <c r="L145" t="str">
        <f t="shared" si="22"/>
        <v>No</v>
      </c>
      <c r="M145" t="str">
        <f t="shared" si="23"/>
        <v>no</v>
      </c>
    </row>
    <row r="146" spans="1:13" hidden="1" x14ac:dyDescent="0.35">
      <c r="A146" t="s">
        <v>290</v>
      </c>
      <c r="B146" t="s">
        <v>270</v>
      </c>
      <c r="C146">
        <v>41.833300000000001</v>
      </c>
      <c r="D146">
        <v>-70.933300000000003</v>
      </c>
      <c r="E146">
        <v>5936</v>
      </c>
      <c r="F146">
        <f t="shared" si="16"/>
        <v>-0.51034216503003194</v>
      </c>
      <c r="G146">
        <f t="shared" si="17"/>
        <v>0.21499039955489252</v>
      </c>
      <c r="H146">
        <f t="shared" si="18"/>
        <v>-56.647980318333545</v>
      </c>
      <c r="I146">
        <f t="shared" si="19"/>
        <v>17.736707963278633</v>
      </c>
      <c r="J146">
        <f t="shared" si="20"/>
        <v>59.359788438983983</v>
      </c>
      <c r="K146" t="str">
        <f t="shared" si="21"/>
        <v>No</v>
      </c>
      <c r="L146" t="str">
        <f t="shared" si="22"/>
        <v>No</v>
      </c>
      <c r="M146" t="str">
        <f t="shared" si="23"/>
        <v>no</v>
      </c>
    </row>
    <row r="147" spans="1:13" hidden="1" x14ac:dyDescent="0.35">
      <c r="A147" t="s">
        <v>291</v>
      </c>
      <c r="B147" t="s">
        <v>270</v>
      </c>
      <c r="C147">
        <v>42.133299999999998</v>
      </c>
      <c r="D147">
        <v>-71.066699999999997</v>
      </c>
      <c r="E147">
        <v>17708</v>
      </c>
      <c r="F147">
        <f t="shared" si="16"/>
        <v>-0.21034216503003478</v>
      </c>
      <c r="G147">
        <f t="shared" si="17"/>
        <v>8.1590399554897886E-2</v>
      </c>
      <c r="H147">
        <f t="shared" si="18"/>
        <v>-23.34798031833386</v>
      </c>
      <c r="I147">
        <f t="shared" si="19"/>
        <v>6.7312079632790756</v>
      </c>
      <c r="J147">
        <f t="shared" si="20"/>
        <v>24.298916551776891</v>
      </c>
      <c r="K147" t="str">
        <f t="shared" si="21"/>
        <v>No</v>
      </c>
      <c r="L147" t="str">
        <f t="shared" si="22"/>
        <v>No</v>
      </c>
      <c r="M147" t="str">
        <f t="shared" si="23"/>
        <v>no</v>
      </c>
    </row>
    <row r="148" spans="1:13" hidden="1" x14ac:dyDescent="0.35">
      <c r="A148" t="s">
        <v>106</v>
      </c>
      <c r="B148" t="s">
        <v>82</v>
      </c>
      <c r="C148">
        <v>42.65</v>
      </c>
      <c r="D148">
        <v>-70.616699999999994</v>
      </c>
      <c r="E148">
        <v>7091</v>
      </c>
      <c r="F148">
        <f t="shared" si="16"/>
        <v>0.30635783496996538</v>
      </c>
      <c r="G148">
        <f t="shared" si="17"/>
        <v>0.53159039955490073</v>
      </c>
      <c r="H148">
        <f t="shared" si="18"/>
        <v>34.005719681666157</v>
      </c>
      <c r="I148">
        <f t="shared" si="19"/>
        <v>43.85620796327931</v>
      </c>
      <c r="J148">
        <f t="shared" si="20"/>
        <v>55.495548902470198</v>
      </c>
      <c r="K148" t="str">
        <f t="shared" si="21"/>
        <v>No</v>
      </c>
      <c r="L148" t="str">
        <f t="shared" si="22"/>
        <v>No</v>
      </c>
      <c r="M148" t="str">
        <f t="shared" si="23"/>
        <v>no</v>
      </c>
    </row>
    <row r="149" spans="1:13" hidden="1" x14ac:dyDescent="0.35">
      <c r="A149" t="s">
        <v>107</v>
      </c>
      <c r="B149" t="s">
        <v>82</v>
      </c>
      <c r="C149">
        <v>42.7333</v>
      </c>
      <c r="D149">
        <v>-70.900000000000006</v>
      </c>
      <c r="E149">
        <v>6334</v>
      </c>
      <c r="F149">
        <f t="shared" si="16"/>
        <v>0.38965783496996664</v>
      </c>
      <c r="G149">
        <f t="shared" si="17"/>
        <v>0.24829039955488952</v>
      </c>
      <c r="H149">
        <f t="shared" si="18"/>
        <v>43.252019681666297</v>
      </c>
      <c r="I149">
        <f t="shared" si="19"/>
        <v>20.483957963278385</v>
      </c>
      <c r="J149">
        <f t="shared" si="20"/>
        <v>47.857389611058025</v>
      </c>
      <c r="K149" t="str">
        <f t="shared" si="21"/>
        <v>No</v>
      </c>
      <c r="L149" t="str">
        <f t="shared" si="22"/>
        <v>No</v>
      </c>
      <c r="M149" t="str">
        <f t="shared" si="23"/>
        <v>no</v>
      </c>
    </row>
    <row r="150" spans="1:13" hidden="1" x14ac:dyDescent="0.35">
      <c r="A150" t="s">
        <v>108</v>
      </c>
      <c r="B150" t="s">
        <v>82</v>
      </c>
      <c r="C150">
        <v>42.519500000000001</v>
      </c>
      <c r="D150">
        <v>-70.896699999999996</v>
      </c>
      <c r="E150">
        <v>45677</v>
      </c>
      <c r="F150">
        <f t="shared" si="16"/>
        <v>0.17585783496996754</v>
      </c>
      <c r="G150">
        <f t="shared" si="17"/>
        <v>0.25159039955489959</v>
      </c>
      <c r="H150">
        <f t="shared" si="18"/>
        <v>19.520219681666397</v>
      </c>
      <c r="I150">
        <f t="shared" si="19"/>
        <v>20.756207963279216</v>
      </c>
      <c r="J150">
        <f t="shared" si="20"/>
        <v>28.493142077268555</v>
      </c>
      <c r="K150" t="str">
        <f t="shared" si="21"/>
        <v>No</v>
      </c>
      <c r="L150" t="str">
        <f t="shared" si="22"/>
        <v>No</v>
      </c>
      <c r="M150" t="str">
        <f t="shared" si="23"/>
        <v>no</v>
      </c>
    </row>
    <row r="151" spans="1:13" hidden="1" x14ac:dyDescent="0.35">
      <c r="A151" t="s">
        <v>109</v>
      </c>
      <c r="B151" t="s">
        <v>82</v>
      </c>
      <c r="C151">
        <v>42.833300000000001</v>
      </c>
      <c r="D151">
        <v>-71.05</v>
      </c>
      <c r="E151">
        <v>9415</v>
      </c>
      <c r="F151">
        <f t="shared" si="16"/>
        <v>0.48965783496996806</v>
      </c>
      <c r="G151">
        <f t="shared" si="17"/>
        <v>9.8290399554898045E-2</v>
      </c>
      <c r="H151">
        <f t="shared" si="18"/>
        <v>54.352019681666455</v>
      </c>
      <c r="I151">
        <f t="shared" si="19"/>
        <v>8.1089579632790887</v>
      </c>
      <c r="J151">
        <f t="shared" si="20"/>
        <v>54.953591718162379</v>
      </c>
      <c r="K151" t="str">
        <f t="shared" si="21"/>
        <v>No</v>
      </c>
      <c r="L151" t="str">
        <f t="shared" si="22"/>
        <v>No</v>
      </c>
      <c r="M151" t="str">
        <f t="shared" si="23"/>
        <v>no</v>
      </c>
    </row>
    <row r="152" spans="1:13" hidden="1" x14ac:dyDescent="0.35">
      <c r="A152" t="s">
        <v>15</v>
      </c>
      <c r="B152" t="s">
        <v>4</v>
      </c>
      <c r="C152">
        <v>41.767400000000002</v>
      </c>
      <c r="D152">
        <v>-70.468699999999998</v>
      </c>
      <c r="E152">
        <v>20507</v>
      </c>
      <c r="F152">
        <f t="shared" si="16"/>
        <v>-0.57624216503003112</v>
      </c>
      <c r="G152">
        <f t="shared" si="17"/>
        <v>0.67959039955489686</v>
      </c>
      <c r="H152">
        <f t="shared" si="18"/>
        <v>-63.962880318333454</v>
      </c>
      <c r="I152">
        <f t="shared" si="19"/>
        <v>56.066207963278991</v>
      </c>
      <c r="J152">
        <f t="shared" si="20"/>
        <v>85.056861769048936</v>
      </c>
      <c r="K152" t="str">
        <f t="shared" si="21"/>
        <v>No</v>
      </c>
      <c r="L152" t="str">
        <f t="shared" si="22"/>
        <v>No</v>
      </c>
      <c r="M152" t="str">
        <f t="shared" si="23"/>
        <v>no</v>
      </c>
    </row>
    <row r="153" spans="1:13" hidden="1" x14ac:dyDescent="0.35">
      <c r="A153" t="s">
        <v>110</v>
      </c>
      <c r="B153" t="s">
        <v>82</v>
      </c>
      <c r="C153">
        <v>42.466700000000003</v>
      </c>
      <c r="D153">
        <v>-71</v>
      </c>
      <c r="E153">
        <v>29029</v>
      </c>
      <c r="F153">
        <f t="shared" si="16"/>
        <v>0.1230578349699698</v>
      </c>
      <c r="G153">
        <f t="shared" si="17"/>
        <v>0.1482903995548952</v>
      </c>
      <c r="H153">
        <f t="shared" si="18"/>
        <v>13.659419681666648</v>
      </c>
      <c r="I153">
        <f t="shared" si="19"/>
        <v>12.233957963278854</v>
      </c>
      <c r="J153">
        <f t="shared" si="20"/>
        <v>18.337106464411889</v>
      </c>
      <c r="K153" t="str">
        <f t="shared" si="21"/>
        <v>No</v>
      </c>
      <c r="L153" t="str">
        <f t="shared" si="22"/>
        <v>No</v>
      </c>
      <c r="M153" t="str">
        <f t="shared" si="23"/>
        <v>no</v>
      </c>
    </row>
    <row r="154" spans="1:13" hidden="1" x14ac:dyDescent="0.35">
      <c r="A154" t="s">
        <v>292</v>
      </c>
      <c r="B154" t="s">
        <v>270</v>
      </c>
      <c r="C154">
        <v>42.166699999999999</v>
      </c>
      <c r="D154">
        <v>-70.7333</v>
      </c>
      <c r="E154">
        <v>19598</v>
      </c>
      <c r="F154">
        <f t="shared" si="16"/>
        <v>-0.17694216503003446</v>
      </c>
      <c r="G154">
        <f t="shared" si="17"/>
        <v>0.41499039955489536</v>
      </c>
      <c r="H154">
        <f t="shared" si="18"/>
        <v>-19.640580318333825</v>
      </c>
      <c r="I154">
        <f t="shared" si="19"/>
        <v>34.236707963278867</v>
      </c>
      <c r="J154">
        <f t="shared" si="20"/>
        <v>39.470299813958398</v>
      </c>
      <c r="K154" t="str">
        <f t="shared" si="21"/>
        <v>No</v>
      </c>
      <c r="L154" t="str">
        <f t="shared" si="22"/>
        <v>No</v>
      </c>
      <c r="M154" t="str">
        <f t="shared" si="23"/>
        <v>no</v>
      </c>
    </row>
    <row r="155" spans="1:13" hidden="1" x14ac:dyDescent="0.35">
      <c r="A155" t="s">
        <v>68</v>
      </c>
      <c r="B155" t="s">
        <v>53</v>
      </c>
      <c r="C155">
        <v>41.95</v>
      </c>
      <c r="D155">
        <v>-71.333299999999994</v>
      </c>
      <c r="E155">
        <v>15912</v>
      </c>
      <c r="F155">
        <f t="shared" si="16"/>
        <v>-0.39364216503003036</v>
      </c>
      <c r="G155">
        <f t="shared" si="17"/>
        <v>-0.18500960044509895</v>
      </c>
      <c r="H155">
        <f t="shared" si="18"/>
        <v>-43.694280318333369</v>
      </c>
      <c r="I155">
        <f t="shared" si="19"/>
        <v>-15.263292036720664</v>
      </c>
      <c r="J155">
        <f t="shared" si="20"/>
        <v>46.283455103690294</v>
      </c>
      <c r="K155" t="str">
        <f t="shared" si="21"/>
        <v>No</v>
      </c>
      <c r="L155" t="str">
        <f t="shared" si="22"/>
        <v>No</v>
      </c>
      <c r="M155" t="str">
        <f t="shared" si="23"/>
        <v>no</v>
      </c>
    </row>
    <row r="156" spans="1:13" hidden="1" x14ac:dyDescent="0.35">
      <c r="A156" t="s">
        <v>262</v>
      </c>
      <c r="B156" t="s">
        <v>243</v>
      </c>
      <c r="C156">
        <v>42.133299999999998</v>
      </c>
      <c r="D156">
        <v>-71.2</v>
      </c>
      <c r="E156">
        <v>18762</v>
      </c>
      <c r="F156">
        <f t="shared" si="16"/>
        <v>-0.21034216503003478</v>
      </c>
      <c r="G156">
        <f t="shared" si="17"/>
        <v>-5.170960044510764E-2</v>
      </c>
      <c r="H156">
        <f t="shared" si="18"/>
        <v>-23.34798031833386</v>
      </c>
      <c r="I156">
        <f t="shared" si="19"/>
        <v>-4.2660420367213803</v>
      </c>
      <c r="J156">
        <f t="shared" si="20"/>
        <v>23.734517050160914</v>
      </c>
      <c r="K156" t="str">
        <f t="shared" si="21"/>
        <v>No</v>
      </c>
      <c r="L156" t="str">
        <f t="shared" si="22"/>
        <v>No</v>
      </c>
      <c r="M156" t="str">
        <f t="shared" si="23"/>
        <v>no</v>
      </c>
    </row>
    <row r="157" spans="1:13" hidden="1" x14ac:dyDescent="0.35">
      <c r="A157" t="s">
        <v>223</v>
      </c>
      <c r="B157" t="s">
        <v>187</v>
      </c>
      <c r="C157">
        <v>42.216700000000003</v>
      </c>
      <c r="D157">
        <v>-71.383300000000006</v>
      </c>
      <c r="E157">
        <v>4485</v>
      </c>
      <c r="F157">
        <f t="shared" si="16"/>
        <v>-0.1269421650300302</v>
      </c>
      <c r="G157">
        <f t="shared" si="17"/>
        <v>-0.23500960044511032</v>
      </c>
      <c r="H157">
        <f t="shared" si="18"/>
        <v>-14.090580318333352</v>
      </c>
      <c r="I157">
        <f t="shared" si="19"/>
        <v>-19.388292036721602</v>
      </c>
      <c r="J157">
        <f t="shared" si="20"/>
        <v>23.967693293444103</v>
      </c>
      <c r="K157" t="str">
        <f t="shared" si="21"/>
        <v>No</v>
      </c>
      <c r="L157" t="str">
        <f t="shared" si="22"/>
        <v>No</v>
      </c>
      <c r="M157" t="str">
        <f t="shared" si="23"/>
        <v>no</v>
      </c>
    </row>
    <row r="158" spans="1:13" hidden="1" x14ac:dyDescent="0.35">
      <c r="A158" t="s">
        <v>224</v>
      </c>
      <c r="B158" t="s">
        <v>187</v>
      </c>
      <c r="C158">
        <v>42.55</v>
      </c>
      <c r="D158">
        <v>-71.650000000000006</v>
      </c>
      <c r="E158">
        <v>7042</v>
      </c>
      <c r="F158">
        <f t="shared" si="16"/>
        <v>0.20635783496996396</v>
      </c>
      <c r="G158">
        <f t="shared" si="17"/>
        <v>-0.50170960044511048</v>
      </c>
      <c r="H158">
        <f t="shared" si="18"/>
        <v>22.905719681666</v>
      </c>
      <c r="I158">
        <f t="shared" si="19"/>
        <v>-41.391042036721615</v>
      </c>
      <c r="J158">
        <f t="shared" si="20"/>
        <v>47.306345821894944</v>
      </c>
      <c r="K158" t="str">
        <f t="shared" si="21"/>
        <v>No</v>
      </c>
      <c r="L158" t="str">
        <f t="shared" si="22"/>
        <v>No</v>
      </c>
      <c r="M158" t="str">
        <f t="shared" si="23"/>
        <v>no</v>
      </c>
    </row>
    <row r="159" spans="1:13" hidden="1" x14ac:dyDescent="0.35">
      <c r="A159" t="s">
        <v>69</v>
      </c>
      <c r="B159" t="s">
        <v>53</v>
      </c>
      <c r="C159">
        <v>41.9833</v>
      </c>
      <c r="D159">
        <v>-71.150000000000006</v>
      </c>
      <c r="E159">
        <v>18375</v>
      </c>
      <c r="F159">
        <f t="shared" si="16"/>
        <v>-0.36034216503003336</v>
      </c>
      <c r="G159">
        <f t="shared" si="17"/>
        <v>-1.7096004451104818E-3</v>
      </c>
      <c r="H159">
        <f t="shared" si="18"/>
        <v>-39.997980318333703</v>
      </c>
      <c r="I159">
        <f t="shared" si="19"/>
        <v>-0.14104203672161475</v>
      </c>
      <c r="J159">
        <f t="shared" si="20"/>
        <v>39.998228990818241</v>
      </c>
      <c r="K159" t="str">
        <f t="shared" si="21"/>
        <v>No</v>
      </c>
      <c r="L159" t="str">
        <f t="shared" si="22"/>
        <v>No</v>
      </c>
      <c r="M159" t="str">
        <f t="shared" si="23"/>
        <v>no</v>
      </c>
    </row>
    <row r="160" spans="1:13" x14ac:dyDescent="0.35">
      <c r="A160" t="s">
        <v>225</v>
      </c>
      <c r="B160" t="s">
        <v>187</v>
      </c>
      <c r="C160">
        <v>42.387599999999999</v>
      </c>
      <c r="D160">
        <v>-71.099500000000006</v>
      </c>
      <c r="E160">
        <v>82149</v>
      </c>
      <c r="F160">
        <f t="shared" si="16"/>
        <v>4.3957834969965859E-2</v>
      </c>
      <c r="G160">
        <f t="shared" si="17"/>
        <v>4.8790399554889063E-2</v>
      </c>
      <c r="H160">
        <f t="shared" si="18"/>
        <v>4.8793196816662103</v>
      </c>
      <c r="I160">
        <f t="shared" si="19"/>
        <v>4.0252079632783477</v>
      </c>
      <c r="J160">
        <f t="shared" si="20"/>
        <v>6.3253505597345887</v>
      </c>
      <c r="K160" t="str">
        <f t="shared" si="21"/>
        <v>Yes</v>
      </c>
      <c r="L160" t="str">
        <f t="shared" si="22"/>
        <v>No</v>
      </c>
      <c r="M160" t="str">
        <f t="shared" si="23"/>
        <v>Yes</v>
      </c>
    </row>
    <row r="161" spans="1:13" hidden="1" x14ac:dyDescent="0.35">
      <c r="A161" t="s">
        <v>226</v>
      </c>
      <c r="B161" t="s">
        <v>187</v>
      </c>
      <c r="C161">
        <v>42.4833</v>
      </c>
      <c r="D161">
        <v>-71.116699999999994</v>
      </c>
      <c r="E161">
        <v>24550</v>
      </c>
      <c r="F161">
        <f t="shared" si="16"/>
        <v>0.13965783496996664</v>
      </c>
      <c r="G161">
        <f t="shared" si="17"/>
        <v>3.1590399554900728E-2</v>
      </c>
      <c r="H161">
        <f t="shared" si="18"/>
        <v>15.502019681666297</v>
      </c>
      <c r="I161">
        <f t="shared" si="19"/>
        <v>2.60620796327931</v>
      </c>
      <c r="J161">
        <f t="shared" si="20"/>
        <v>15.719571691322564</v>
      </c>
      <c r="K161" t="str">
        <f t="shared" si="21"/>
        <v>No</v>
      </c>
      <c r="L161" t="str">
        <f t="shared" si="22"/>
        <v>No</v>
      </c>
      <c r="M161" t="str">
        <f t="shared" si="23"/>
        <v>no</v>
      </c>
    </row>
    <row r="162" spans="1:13" hidden="1" x14ac:dyDescent="0.35">
      <c r="A162" t="s">
        <v>263</v>
      </c>
      <c r="B162" t="s">
        <v>243</v>
      </c>
      <c r="C162">
        <v>42.133299999999998</v>
      </c>
      <c r="D162">
        <v>-71.083299999999994</v>
      </c>
      <c r="E162">
        <v>29457</v>
      </c>
      <c r="F162">
        <f t="shared" si="16"/>
        <v>-0.21034216503003478</v>
      </c>
      <c r="G162">
        <f t="shared" si="17"/>
        <v>6.4990399554901046E-2</v>
      </c>
      <c r="H162">
        <f t="shared" si="18"/>
        <v>-23.34798031833386</v>
      </c>
      <c r="I162">
        <f t="shared" si="19"/>
        <v>5.3617079632793363</v>
      </c>
      <c r="J162">
        <f t="shared" si="20"/>
        <v>23.955711160990365</v>
      </c>
      <c r="K162" t="str">
        <f t="shared" si="21"/>
        <v>No</v>
      </c>
      <c r="L162" t="str">
        <f t="shared" si="22"/>
        <v>No</v>
      </c>
      <c r="M162" t="str">
        <f t="shared" si="23"/>
        <v>no</v>
      </c>
    </row>
    <row r="163" spans="1:13" hidden="1" x14ac:dyDescent="0.35">
      <c r="A163" t="s">
        <v>227</v>
      </c>
      <c r="B163" t="s">
        <v>187</v>
      </c>
      <c r="C163">
        <v>42.466700000000003</v>
      </c>
      <c r="D163">
        <v>-71.5</v>
      </c>
      <c r="E163">
        <v>7335</v>
      </c>
      <c r="F163">
        <f t="shared" si="16"/>
        <v>0.1230578349699698</v>
      </c>
      <c r="G163">
        <f t="shared" si="17"/>
        <v>-0.3517096004451048</v>
      </c>
      <c r="H163">
        <f t="shared" si="18"/>
        <v>13.659419681666648</v>
      </c>
      <c r="I163">
        <f t="shared" si="19"/>
        <v>-29.016042036721146</v>
      </c>
      <c r="J163">
        <f t="shared" si="20"/>
        <v>32.070398212630145</v>
      </c>
      <c r="K163" t="str">
        <f t="shared" si="21"/>
        <v>No</v>
      </c>
      <c r="L163" t="str">
        <f t="shared" si="22"/>
        <v>No</v>
      </c>
      <c r="M163" t="str">
        <f t="shared" si="23"/>
        <v>no</v>
      </c>
    </row>
    <row r="164" spans="1:13" hidden="1" x14ac:dyDescent="0.35">
      <c r="A164" t="s">
        <v>228</v>
      </c>
      <c r="B164" t="s">
        <v>187</v>
      </c>
      <c r="C164">
        <v>42.383299999999998</v>
      </c>
      <c r="D164">
        <v>-71.416700000000006</v>
      </c>
      <c r="E164">
        <v>19805</v>
      </c>
      <c r="F164">
        <f t="shared" si="16"/>
        <v>3.9657834969965222E-2</v>
      </c>
      <c r="G164">
        <f t="shared" si="17"/>
        <v>-0.26840960044511064</v>
      </c>
      <c r="H164">
        <f t="shared" si="18"/>
        <v>4.4020196816661397</v>
      </c>
      <c r="I164">
        <f t="shared" si="19"/>
        <v>-22.143792036721628</v>
      </c>
      <c r="J164">
        <f t="shared" si="20"/>
        <v>22.57709686924677</v>
      </c>
      <c r="K164" t="str">
        <f t="shared" si="21"/>
        <v>No</v>
      </c>
      <c r="L164" t="str">
        <f t="shared" si="22"/>
        <v>No</v>
      </c>
      <c r="M164" t="str">
        <f t="shared" si="23"/>
        <v>no</v>
      </c>
    </row>
    <row r="165" spans="1:13" hidden="1" x14ac:dyDescent="0.35">
      <c r="A165" t="s">
        <v>111</v>
      </c>
      <c r="B165" t="s">
        <v>82</v>
      </c>
      <c r="C165">
        <v>42.4833</v>
      </c>
      <c r="D165">
        <v>-70.916700000000006</v>
      </c>
      <c r="E165">
        <v>15658</v>
      </c>
      <c r="F165">
        <f t="shared" si="16"/>
        <v>0.13965783496996664</v>
      </c>
      <c r="G165">
        <f t="shared" si="17"/>
        <v>0.23159039955488936</v>
      </c>
      <c r="H165">
        <f t="shared" si="18"/>
        <v>15.502019681666297</v>
      </c>
      <c r="I165">
        <f t="shared" si="19"/>
        <v>19.106207963278372</v>
      </c>
      <c r="J165">
        <f t="shared" si="20"/>
        <v>24.604060578425081</v>
      </c>
      <c r="K165" t="str">
        <f t="shared" si="21"/>
        <v>No</v>
      </c>
      <c r="L165" t="str">
        <f t="shared" si="22"/>
        <v>No</v>
      </c>
      <c r="M165" t="str">
        <f t="shared" si="23"/>
        <v>no</v>
      </c>
    </row>
    <row r="166" spans="1:13" hidden="1" x14ac:dyDescent="0.35">
      <c r="A166" t="s">
        <v>70</v>
      </c>
      <c r="B166" t="s">
        <v>53</v>
      </c>
      <c r="C166">
        <v>41.966700000000003</v>
      </c>
      <c r="D166">
        <v>-71.2</v>
      </c>
      <c r="E166">
        <v>17537</v>
      </c>
      <c r="F166">
        <f t="shared" si="16"/>
        <v>-0.3769421650300302</v>
      </c>
      <c r="G166">
        <f t="shared" si="17"/>
        <v>-5.170960044510764E-2</v>
      </c>
      <c r="H166">
        <f t="shared" si="18"/>
        <v>-41.840580318333352</v>
      </c>
      <c r="I166">
        <f t="shared" si="19"/>
        <v>-4.2660420367213803</v>
      </c>
      <c r="J166">
        <f t="shared" si="20"/>
        <v>42.057499640777245</v>
      </c>
      <c r="K166" t="str">
        <f t="shared" si="21"/>
        <v>No</v>
      </c>
      <c r="L166" t="str">
        <f t="shared" si="22"/>
        <v>No</v>
      </c>
      <c r="M166" t="str">
        <f t="shared" si="23"/>
        <v>no</v>
      </c>
    </row>
    <row r="167" spans="1:13" hidden="1" x14ac:dyDescent="0.35">
      <c r="A167" t="s">
        <v>71</v>
      </c>
      <c r="B167" t="s">
        <v>53</v>
      </c>
      <c r="C167">
        <v>41.9</v>
      </c>
      <c r="D167">
        <v>-71.066699999999997</v>
      </c>
      <c r="E167">
        <v>61936</v>
      </c>
      <c r="F167">
        <f t="shared" si="16"/>
        <v>-0.44364216503003462</v>
      </c>
      <c r="G167">
        <f t="shared" si="17"/>
        <v>8.1590399554897886E-2</v>
      </c>
      <c r="H167">
        <f t="shared" si="18"/>
        <v>-49.244280318333843</v>
      </c>
      <c r="I167">
        <f t="shared" si="19"/>
        <v>6.7312079632790756</v>
      </c>
      <c r="J167">
        <f t="shared" si="20"/>
        <v>49.702196175979523</v>
      </c>
      <c r="K167" t="str">
        <f t="shared" si="21"/>
        <v>No</v>
      </c>
      <c r="L167" t="str">
        <f t="shared" si="22"/>
        <v>No</v>
      </c>
      <c r="M167" t="str">
        <f t="shared" si="23"/>
        <v>no</v>
      </c>
    </row>
    <row r="168" spans="1:13" hidden="1" x14ac:dyDescent="0.35">
      <c r="A168" t="s">
        <v>229</v>
      </c>
      <c r="B168" t="s">
        <v>187</v>
      </c>
      <c r="C168">
        <v>42.6</v>
      </c>
      <c r="D168">
        <v>-71.216700000000003</v>
      </c>
      <c r="E168">
        <v>31796</v>
      </c>
      <c r="F168">
        <f t="shared" si="16"/>
        <v>0.25635783496996822</v>
      </c>
      <c r="G168">
        <f t="shared" si="17"/>
        <v>-6.8409600445107799E-2</v>
      </c>
      <c r="H168">
        <f t="shared" si="18"/>
        <v>28.455719681666473</v>
      </c>
      <c r="I168">
        <f t="shared" si="19"/>
        <v>-5.6437920367213934</v>
      </c>
      <c r="J168">
        <f t="shared" si="20"/>
        <v>29.010004673480157</v>
      </c>
      <c r="K168" t="str">
        <f t="shared" si="21"/>
        <v>No</v>
      </c>
      <c r="L168" t="str">
        <f t="shared" si="22"/>
        <v>No</v>
      </c>
      <c r="M168" t="str">
        <f t="shared" si="23"/>
        <v>no</v>
      </c>
    </row>
    <row r="169" spans="1:13" hidden="1" x14ac:dyDescent="0.35">
      <c r="A169" t="s">
        <v>79</v>
      </c>
      <c r="B169" t="s">
        <v>74</v>
      </c>
      <c r="C169">
        <v>41.433300000000003</v>
      </c>
      <c r="D169">
        <v>-70.599999999999994</v>
      </c>
      <c r="E169">
        <v>4927</v>
      </c>
      <c r="F169">
        <f t="shared" si="16"/>
        <v>-0.91034216503003051</v>
      </c>
      <c r="G169">
        <f t="shared" si="17"/>
        <v>0.54829039955490089</v>
      </c>
      <c r="H169">
        <f t="shared" si="18"/>
        <v>-101.04798031833339</v>
      </c>
      <c r="I169">
        <f t="shared" si="19"/>
        <v>45.233957963279323</v>
      </c>
      <c r="J169">
        <f t="shared" si="20"/>
        <v>110.71045695614309</v>
      </c>
      <c r="K169" t="str">
        <f t="shared" si="21"/>
        <v>No</v>
      </c>
      <c r="L169" t="str">
        <f t="shared" si="22"/>
        <v>No</v>
      </c>
      <c r="M169" t="str">
        <f t="shared" si="23"/>
        <v>no</v>
      </c>
    </row>
    <row r="170" spans="1:13" hidden="1" x14ac:dyDescent="0.35">
      <c r="A170" t="s">
        <v>112</v>
      </c>
      <c r="B170" t="s">
        <v>82</v>
      </c>
      <c r="C170">
        <v>42.65</v>
      </c>
      <c r="D170">
        <v>-70.966700000000003</v>
      </c>
      <c r="E170">
        <v>6620</v>
      </c>
      <c r="F170">
        <f t="shared" si="16"/>
        <v>0.30635783496996538</v>
      </c>
      <c r="G170">
        <f t="shared" si="17"/>
        <v>0.1815903995548922</v>
      </c>
      <c r="H170">
        <f t="shared" si="18"/>
        <v>34.005719681666157</v>
      </c>
      <c r="I170">
        <f t="shared" si="19"/>
        <v>14.981207963278607</v>
      </c>
      <c r="J170">
        <f t="shared" si="20"/>
        <v>37.159461286556073</v>
      </c>
      <c r="K170" t="str">
        <f t="shared" si="21"/>
        <v>No</v>
      </c>
      <c r="L170" t="str">
        <f t="shared" si="22"/>
        <v>No</v>
      </c>
      <c r="M170" t="str">
        <f t="shared" si="23"/>
        <v>no</v>
      </c>
    </row>
    <row r="171" spans="1:13" hidden="1" x14ac:dyDescent="0.35">
      <c r="A171" t="s">
        <v>230</v>
      </c>
      <c r="B171" t="s">
        <v>187</v>
      </c>
      <c r="C171">
        <v>42.666699999999999</v>
      </c>
      <c r="D171">
        <v>-71.7</v>
      </c>
      <c r="E171">
        <v>9220</v>
      </c>
      <c r="F171">
        <f t="shared" si="16"/>
        <v>0.32305783496996554</v>
      </c>
      <c r="G171">
        <f t="shared" si="17"/>
        <v>-0.55170960044510764</v>
      </c>
      <c r="H171">
        <f t="shared" si="18"/>
        <v>35.859419681666175</v>
      </c>
      <c r="I171">
        <f t="shared" si="19"/>
        <v>-45.51604203672138</v>
      </c>
      <c r="J171">
        <f t="shared" si="20"/>
        <v>57.944870891170815</v>
      </c>
      <c r="K171" t="str">
        <f t="shared" si="21"/>
        <v>No</v>
      </c>
      <c r="L171" t="str">
        <f t="shared" si="22"/>
        <v>No</v>
      </c>
      <c r="M171" t="str">
        <f t="shared" si="23"/>
        <v>no</v>
      </c>
    </row>
    <row r="172" spans="1:13" hidden="1" x14ac:dyDescent="0.35">
      <c r="A172" t="s">
        <v>16</v>
      </c>
      <c r="B172" t="s">
        <v>4</v>
      </c>
      <c r="C172">
        <v>41.996099999999998</v>
      </c>
      <c r="D172">
        <v>-70.062700000000007</v>
      </c>
      <c r="E172">
        <v>2484</v>
      </c>
      <c r="F172">
        <f t="shared" si="16"/>
        <v>-0.34754216503003477</v>
      </c>
      <c r="G172">
        <f t="shared" si="17"/>
        <v>1.0855903995548886</v>
      </c>
      <c r="H172">
        <f t="shared" si="18"/>
        <v>-38.577180318333859</v>
      </c>
      <c r="I172">
        <f t="shared" si="19"/>
        <v>89.561207963278306</v>
      </c>
      <c r="J172">
        <f t="shared" si="20"/>
        <v>97.516197696356215</v>
      </c>
      <c r="K172" t="str">
        <f t="shared" si="21"/>
        <v>No</v>
      </c>
      <c r="L172" t="str">
        <f t="shared" si="22"/>
        <v>No</v>
      </c>
      <c r="M172" t="str">
        <f t="shared" si="23"/>
        <v>no</v>
      </c>
    </row>
    <row r="173" spans="1:13" hidden="1" x14ac:dyDescent="0.35">
      <c r="A173" t="s">
        <v>231</v>
      </c>
      <c r="B173" t="s">
        <v>187</v>
      </c>
      <c r="C173">
        <v>42.65</v>
      </c>
      <c r="D173">
        <v>-71.433300000000003</v>
      </c>
      <c r="E173">
        <v>12779</v>
      </c>
      <c r="F173">
        <f t="shared" si="16"/>
        <v>0.30635783496996538</v>
      </c>
      <c r="G173">
        <f t="shared" si="17"/>
        <v>-0.28500960044510748</v>
      </c>
      <c r="H173">
        <f t="shared" si="18"/>
        <v>34.005719681666157</v>
      </c>
      <c r="I173">
        <f t="shared" si="19"/>
        <v>-23.513292036721367</v>
      </c>
      <c r="J173">
        <f t="shared" si="20"/>
        <v>41.343244592946519</v>
      </c>
      <c r="K173" t="str">
        <f t="shared" si="21"/>
        <v>No</v>
      </c>
      <c r="L173" t="str">
        <f t="shared" si="22"/>
        <v>No</v>
      </c>
      <c r="M173" t="str">
        <f t="shared" si="23"/>
        <v>no</v>
      </c>
    </row>
    <row r="174" spans="1:13" hidden="1" x14ac:dyDescent="0.35">
      <c r="A174" t="s">
        <v>232</v>
      </c>
      <c r="B174" t="s">
        <v>187</v>
      </c>
      <c r="C174">
        <v>42.5</v>
      </c>
      <c r="D174">
        <v>-71.083299999999994</v>
      </c>
      <c r="E174">
        <v>29216</v>
      </c>
      <c r="F174">
        <f t="shared" si="16"/>
        <v>0.1563578349699668</v>
      </c>
      <c r="G174">
        <f t="shared" si="17"/>
        <v>6.4990399554901046E-2</v>
      </c>
      <c r="H174">
        <f t="shared" si="18"/>
        <v>17.355719681666315</v>
      </c>
      <c r="I174">
        <f t="shared" si="19"/>
        <v>5.3617079632793363</v>
      </c>
      <c r="J174">
        <f t="shared" si="20"/>
        <v>18.165046599226564</v>
      </c>
      <c r="K174" t="str">
        <f t="shared" si="21"/>
        <v>No</v>
      </c>
      <c r="L174" t="str">
        <f t="shared" si="22"/>
        <v>No</v>
      </c>
      <c r="M174" t="str">
        <f t="shared" si="23"/>
        <v>no</v>
      </c>
    </row>
    <row r="175" spans="1:13" hidden="1" x14ac:dyDescent="0.35">
      <c r="A175" t="s">
        <v>264</v>
      </c>
      <c r="B175" t="s">
        <v>243</v>
      </c>
      <c r="C175">
        <v>42.15</v>
      </c>
      <c r="D175">
        <v>-71.2333</v>
      </c>
      <c r="E175">
        <v>26391</v>
      </c>
      <c r="F175">
        <f t="shared" si="16"/>
        <v>-0.19364216503003462</v>
      </c>
      <c r="G175">
        <f t="shared" si="17"/>
        <v>-8.5009600445104638E-2</v>
      </c>
      <c r="H175">
        <f t="shared" si="18"/>
        <v>-21.494280318333843</v>
      </c>
      <c r="I175">
        <f t="shared" si="19"/>
        <v>-7.0132920367211327</v>
      </c>
      <c r="J175">
        <f t="shared" si="20"/>
        <v>22.609519048300204</v>
      </c>
      <c r="K175" t="str">
        <f t="shared" si="21"/>
        <v>No</v>
      </c>
      <c r="L175" t="str">
        <f t="shared" si="22"/>
        <v>No</v>
      </c>
      <c r="M175" t="str">
        <f t="shared" si="23"/>
        <v>no</v>
      </c>
    </row>
    <row r="176" spans="1:13" x14ac:dyDescent="0.35">
      <c r="A176" t="s">
        <v>233</v>
      </c>
      <c r="B176" t="s">
        <v>187</v>
      </c>
      <c r="C176">
        <v>42.376399999999997</v>
      </c>
      <c r="D176">
        <v>-71.235600000000005</v>
      </c>
      <c r="E176">
        <v>65849</v>
      </c>
      <c r="F176">
        <f t="shared" si="16"/>
        <v>3.275783496996354E-2</v>
      </c>
      <c r="G176">
        <f t="shared" si="17"/>
        <v>-8.7309600445109936E-2</v>
      </c>
      <c r="H176">
        <f t="shared" si="18"/>
        <v>3.6361196816659529</v>
      </c>
      <c r="I176">
        <f t="shared" si="19"/>
        <v>-7.2030420367215697</v>
      </c>
      <c r="J176">
        <f t="shared" si="20"/>
        <v>8.0687781554691735</v>
      </c>
      <c r="K176" t="str">
        <f t="shared" si="21"/>
        <v>Yes</v>
      </c>
      <c r="L176" t="str">
        <f t="shared" si="22"/>
        <v>No</v>
      </c>
      <c r="M176" t="str">
        <f t="shared" si="23"/>
        <v>Yes</v>
      </c>
    </row>
    <row r="177" spans="1:13" hidden="1" x14ac:dyDescent="0.35">
      <c r="A177" t="s">
        <v>293</v>
      </c>
      <c r="B177" t="s">
        <v>270</v>
      </c>
      <c r="C177">
        <v>41.75</v>
      </c>
      <c r="D177">
        <v>-70.7333</v>
      </c>
      <c r="E177">
        <v>23526</v>
      </c>
      <c r="F177">
        <f t="shared" si="16"/>
        <v>-0.5936421650300332</v>
      </c>
      <c r="G177">
        <f t="shared" si="17"/>
        <v>0.41499039955489536</v>
      </c>
      <c r="H177">
        <f t="shared" si="18"/>
        <v>-65.894280318333685</v>
      </c>
      <c r="I177">
        <f t="shared" si="19"/>
        <v>34.236707963278867</v>
      </c>
      <c r="J177">
        <f t="shared" si="20"/>
        <v>74.257715766336233</v>
      </c>
      <c r="K177" t="str">
        <f t="shared" si="21"/>
        <v>No</v>
      </c>
      <c r="L177" t="str">
        <f t="shared" si="22"/>
        <v>No</v>
      </c>
      <c r="M177" t="str">
        <f t="shared" si="23"/>
        <v>no</v>
      </c>
    </row>
    <row r="178" spans="1:13" x14ac:dyDescent="0.35">
      <c r="A178" t="s">
        <v>234</v>
      </c>
      <c r="B178" t="s">
        <v>187</v>
      </c>
      <c r="C178">
        <v>42.363900000000001</v>
      </c>
      <c r="D178">
        <v>-71.195499999999996</v>
      </c>
      <c r="E178">
        <v>35270</v>
      </c>
      <c r="F178">
        <f t="shared" si="16"/>
        <v>2.0257834969967803E-2</v>
      </c>
      <c r="G178">
        <f t="shared" si="17"/>
        <v>-4.7209600445100364E-2</v>
      </c>
      <c r="H178">
        <f t="shared" si="18"/>
        <v>2.2486196816664261</v>
      </c>
      <c r="I178">
        <f t="shared" si="19"/>
        <v>-3.89479203672078</v>
      </c>
      <c r="J178">
        <f t="shared" si="20"/>
        <v>4.497298687221166</v>
      </c>
      <c r="K178" t="str">
        <f t="shared" si="21"/>
        <v>Yes</v>
      </c>
      <c r="L178" t="str">
        <f t="shared" si="22"/>
        <v>Yes</v>
      </c>
      <c r="M178" t="str">
        <f t="shared" si="23"/>
        <v>Yes</v>
      </c>
    </row>
    <row r="179" spans="1:13" hidden="1" x14ac:dyDescent="0.35">
      <c r="A179" t="s">
        <v>235</v>
      </c>
      <c r="B179" t="s">
        <v>187</v>
      </c>
      <c r="C179">
        <v>42.366700000000002</v>
      </c>
      <c r="D179">
        <v>-71.383300000000006</v>
      </c>
      <c r="E179">
        <v>14054</v>
      </c>
      <c r="F179">
        <f t="shared" si="16"/>
        <v>2.3057834969968383E-2</v>
      </c>
      <c r="G179">
        <f t="shared" si="17"/>
        <v>-0.23500960044511032</v>
      </c>
      <c r="H179">
        <f t="shared" si="18"/>
        <v>2.5594196816664905</v>
      </c>
      <c r="I179">
        <f t="shared" si="19"/>
        <v>-19.388292036721602</v>
      </c>
      <c r="J179">
        <f t="shared" si="20"/>
        <v>19.556495013373539</v>
      </c>
      <c r="K179" t="str">
        <f t="shared" si="21"/>
        <v>No</v>
      </c>
      <c r="L179" t="str">
        <f t="shared" si="22"/>
        <v>No</v>
      </c>
      <c r="M179" t="str">
        <f t="shared" si="23"/>
        <v>no</v>
      </c>
    </row>
    <row r="180" spans="1:13" x14ac:dyDescent="0.35">
      <c r="A180" t="s">
        <v>265</v>
      </c>
      <c r="B180" t="s">
        <v>243</v>
      </c>
      <c r="C180">
        <v>42.283299999999997</v>
      </c>
      <c r="D180">
        <v>-71.2667</v>
      </c>
      <c r="E180">
        <v>31242</v>
      </c>
      <c r="F180">
        <f t="shared" si="16"/>
        <v>-6.0342165030036199E-2</v>
      </c>
      <c r="G180">
        <f t="shared" si="17"/>
        <v>-0.11840960044510496</v>
      </c>
      <c r="H180">
        <f t="shared" si="18"/>
        <v>-6.6979803183340181</v>
      </c>
      <c r="I180">
        <f t="shared" si="19"/>
        <v>-9.7687920367211589</v>
      </c>
      <c r="J180">
        <f t="shared" si="20"/>
        <v>11.844502446346009</v>
      </c>
      <c r="K180" t="str">
        <f t="shared" si="21"/>
        <v>Yes</v>
      </c>
      <c r="L180" t="str">
        <f t="shared" si="22"/>
        <v>No</v>
      </c>
      <c r="M180" t="str">
        <f t="shared" si="23"/>
        <v>no</v>
      </c>
    </row>
    <row r="181" spans="1:13" hidden="1" x14ac:dyDescent="0.35">
      <c r="A181" t="s">
        <v>17</v>
      </c>
      <c r="B181" t="s">
        <v>4</v>
      </c>
      <c r="C181">
        <v>41.920900000000003</v>
      </c>
      <c r="D181">
        <v>-70.026899999999998</v>
      </c>
      <c r="E181">
        <v>3645</v>
      </c>
      <c r="F181">
        <f t="shared" si="16"/>
        <v>-0.42274216503003004</v>
      </c>
      <c r="G181">
        <f t="shared" si="17"/>
        <v>1.1213903995548975</v>
      </c>
      <c r="H181">
        <f t="shared" si="18"/>
        <v>-46.924380318333334</v>
      </c>
      <c r="I181">
        <f t="shared" si="19"/>
        <v>92.514707963279051</v>
      </c>
      <c r="J181">
        <f t="shared" si="20"/>
        <v>103.73460684742771</v>
      </c>
      <c r="K181" t="str">
        <f t="shared" si="21"/>
        <v>No</v>
      </c>
      <c r="L181" t="str">
        <f t="shared" si="22"/>
        <v>No</v>
      </c>
      <c r="M181" t="str">
        <f t="shared" si="23"/>
        <v>no</v>
      </c>
    </row>
    <row r="182" spans="1:13" hidden="1" x14ac:dyDescent="0.35">
      <c r="A182" t="s">
        <v>113</v>
      </c>
      <c r="B182" t="s">
        <v>82</v>
      </c>
      <c r="C182">
        <v>42.616700000000002</v>
      </c>
      <c r="D182">
        <v>-70.866699999999994</v>
      </c>
      <c r="E182">
        <v>4945</v>
      </c>
      <c r="F182">
        <f t="shared" si="16"/>
        <v>0.27305783496996838</v>
      </c>
      <c r="G182">
        <f t="shared" si="17"/>
        <v>0.28159039955490073</v>
      </c>
      <c r="H182">
        <f t="shared" si="18"/>
        <v>30.30941968166649</v>
      </c>
      <c r="I182">
        <f t="shared" si="19"/>
        <v>23.23120796327931</v>
      </c>
      <c r="J182">
        <f t="shared" si="20"/>
        <v>38.188348286781455</v>
      </c>
      <c r="K182" t="str">
        <f t="shared" si="21"/>
        <v>No</v>
      </c>
      <c r="L182" t="str">
        <f t="shared" si="22"/>
        <v>No</v>
      </c>
      <c r="M182" t="str">
        <f t="shared" si="23"/>
        <v>no</v>
      </c>
    </row>
    <row r="183" spans="1:13" hidden="1" x14ac:dyDescent="0.35">
      <c r="A183" t="s">
        <v>294</v>
      </c>
      <c r="B183" t="s">
        <v>270</v>
      </c>
      <c r="C183">
        <v>41.966700000000003</v>
      </c>
      <c r="D183">
        <v>-70.95</v>
      </c>
      <c r="E183">
        <v>7771</v>
      </c>
      <c r="F183">
        <f t="shared" si="16"/>
        <v>-0.3769421650300302</v>
      </c>
      <c r="G183">
        <f t="shared" si="17"/>
        <v>0.19829039955489236</v>
      </c>
      <c r="H183">
        <f t="shared" si="18"/>
        <v>-41.840580318333352</v>
      </c>
      <c r="I183">
        <f t="shared" si="19"/>
        <v>16.35895796327862</v>
      </c>
      <c r="J183">
        <f t="shared" si="20"/>
        <v>44.92493368964746</v>
      </c>
      <c r="K183" t="str">
        <f t="shared" si="21"/>
        <v>No</v>
      </c>
      <c r="L183" t="str">
        <f t="shared" si="22"/>
        <v>No</v>
      </c>
      <c r="M183" t="str">
        <f t="shared" si="23"/>
        <v>no</v>
      </c>
    </row>
    <row r="184" spans="1:13" hidden="1" x14ac:dyDescent="0.35">
      <c r="A184" t="s">
        <v>114</v>
      </c>
      <c r="B184" t="s">
        <v>82</v>
      </c>
      <c r="C184">
        <v>42.8</v>
      </c>
      <c r="D184">
        <v>-71.150000000000006</v>
      </c>
      <c r="E184">
        <v>4680</v>
      </c>
      <c r="F184">
        <f t="shared" si="16"/>
        <v>0.45635783496996396</v>
      </c>
      <c r="G184">
        <f t="shared" si="17"/>
        <v>-1.7096004451104818E-3</v>
      </c>
      <c r="H184">
        <f t="shared" si="18"/>
        <v>50.655719681666</v>
      </c>
      <c r="I184">
        <f t="shared" si="19"/>
        <v>-0.14104203672161475</v>
      </c>
      <c r="J184">
        <f t="shared" si="20"/>
        <v>50.655916034789527</v>
      </c>
      <c r="K184" t="str">
        <f t="shared" si="21"/>
        <v>No</v>
      </c>
      <c r="L184" t="str">
        <f t="shared" si="22"/>
        <v>No</v>
      </c>
      <c r="M184" t="str">
        <f t="shared" si="23"/>
        <v>no</v>
      </c>
    </row>
    <row r="185" spans="1:13" hidden="1" x14ac:dyDescent="0.35">
      <c r="A185" t="s">
        <v>80</v>
      </c>
      <c r="B185" t="s">
        <v>74</v>
      </c>
      <c r="C185">
        <v>41.45</v>
      </c>
      <c r="D185">
        <v>-70.7333</v>
      </c>
      <c r="E185">
        <v>3637</v>
      </c>
      <c r="F185">
        <f t="shared" si="16"/>
        <v>-0.89364216503003036</v>
      </c>
      <c r="G185">
        <f t="shared" si="17"/>
        <v>0.41499039955489536</v>
      </c>
      <c r="H185">
        <f t="shared" si="18"/>
        <v>-99.194280318333369</v>
      </c>
      <c r="I185">
        <f t="shared" si="19"/>
        <v>34.236707963278867</v>
      </c>
      <c r="J185">
        <f t="shared" si="20"/>
        <v>104.93644467026192</v>
      </c>
      <c r="K185" t="str">
        <f t="shared" si="21"/>
        <v>No</v>
      </c>
      <c r="L185" t="str">
        <f t="shared" si="22"/>
        <v>No</v>
      </c>
      <c r="M185" t="str">
        <f t="shared" si="23"/>
        <v>no</v>
      </c>
    </row>
    <row r="186" spans="1:13" hidden="1" x14ac:dyDescent="0.35">
      <c r="A186" t="s">
        <v>236</v>
      </c>
      <c r="B186" t="s">
        <v>187</v>
      </c>
      <c r="C186">
        <v>42.55</v>
      </c>
      <c r="D186">
        <v>-71.45</v>
      </c>
      <c r="E186">
        <v>25024</v>
      </c>
      <c r="F186">
        <f t="shared" si="16"/>
        <v>0.20635783496996396</v>
      </c>
      <c r="G186">
        <f t="shared" si="17"/>
        <v>-0.30170960044510764</v>
      </c>
      <c r="H186">
        <f t="shared" si="18"/>
        <v>22.905719681666</v>
      </c>
      <c r="I186">
        <f t="shared" si="19"/>
        <v>-24.89104203672138</v>
      </c>
      <c r="J186">
        <f t="shared" si="20"/>
        <v>33.826557137978021</v>
      </c>
      <c r="K186" t="str">
        <f t="shared" si="21"/>
        <v>No</v>
      </c>
      <c r="L186" t="str">
        <f t="shared" si="22"/>
        <v>No</v>
      </c>
      <c r="M186" t="str">
        <f t="shared" si="23"/>
        <v>no</v>
      </c>
    </row>
    <row r="187" spans="1:13" x14ac:dyDescent="0.35">
      <c r="A187" t="s">
        <v>237</v>
      </c>
      <c r="B187" t="s">
        <v>187</v>
      </c>
      <c r="C187">
        <v>42.366700000000002</v>
      </c>
      <c r="D187">
        <v>-71.3</v>
      </c>
      <c r="E187">
        <v>11827</v>
      </c>
      <c r="F187">
        <f t="shared" si="16"/>
        <v>2.3057834969968383E-2</v>
      </c>
      <c r="G187">
        <f t="shared" si="17"/>
        <v>-0.15170960044510196</v>
      </c>
      <c r="H187">
        <f t="shared" si="18"/>
        <v>2.5594196816664905</v>
      </c>
      <c r="I187">
        <f t="shared" si="19"/>
        <v>-12.516042036720911</v>
      </c>
      <c r="J187">
        <f t="shared" si="20"/>
        <v>12.775051364744751</v>
      </c>
      <c r="K187" t="str">
        <f t="shared" si="21"/>
        <v>Yes</v>
      </c>
      <c r="L187" t="str">
        <f t="shared" si="22"/>
        <v>No</v>
      </c>
      <c r="M187" t="str">
        <f t="shared" si="23"/>
        <v>no</v>
      </c>
    </row>
    <row r="188" spans="1:13" hidden="1" x14ac:dyDescent="0.35">
      <c r="A188" t="s">
        <v>72</v>
      </c>
      <c r="B188" t="s">
        <v>53</v>
      </c>
      <c r="C188">
        <v>41.65</v>
      </c>
      <c r="D188">
        <v>-71.333299999999994</v>
      </c>
      <c r="E188">
        <v>16705</v>
      </c>
      <c r="F188">
        <f t="shared" si="16"/>
        <v>-0.69364216503003462</v>
      </c>
      <c r="G188">
        <f t="shared" si="17"/>
        <v>-0.18500960044509895</v>
      </c>
      <c r="H188">
        <f t="shared" si="18"/>
        <v>-76.994280318333836</v>
      </c>
      <c r="I188">
        <f t="shared" si="19"/>
        <v>-15.263292036720664</v>
      </c>
      <c r="J188">
        <f t="shared" si="20"/>
        <v>78.492593826018961</v>
      </c>
      <c r="K188" t="str">
        <f t="shared" si="21"/>
        <v>No</v>
      </c>
      <c r="L188" t="str">
        <f t="shared" si="22"/>
        <v>No</v>
      </c>
      <c r="M188" t="str">
        <f t="shared" si="23"/>
        <v>no</v>
      </c>
    </row>
    <row r="189" spans="1:13" hidden="1" x14ac:dyDescent="0.35">
      <c r="A189" t="s">
        <v>266</v>
      </c>
      <c r="B189" t="s">
        <v>243</v>
      </c>
      <c r="C189">
        <v>42.2</v>
      </c>
      <c r="D189">
        <v>-71.2333</v>
      </c>
      <c r="E189">
        <v>16533</v>
      </c>
      <c r="F189">
        <f t="shared" si="16"/>
        <v>-0.14364216503003036</v>
      </c>
      <c r="G189">
        <f t="shared" si="17"/>
        <v>-8.5009600445104638E-2</v>
      </c>
      <c r="H189">
        <f t="shared" si="18"/>
        <v>-15.944280318333369</v>
      </c>
      <c r="I189">
        <f t="shared" si="19"/>
        <v>-7.0132920367211327</v>
      </c>
      <c r="J189">
        <f t="shared" si="20"/>
        <v>17.418563088324159</v>
      </c>
      <c r="K189" t="str">
        <f t="shared" si="21"/>
        <v>No</v>
      </c>
      <c r="L189" t="str">
        <f t="shared" si="22"/>
        <v>No</v>
      </c>
      <c r="M189" t="str">
        <f t="shared" si="23"/>
        <v>no</v>
      </c>
    </row>
    <row r="190" spans="1:13" hidden="1" x14ac:dyDescent="0.35">
      <c r="A190" t="s">
        <v>267</v>
      </c>
      <c r="B190" t="s">
        <v>243</v>
      </c>
      <c r="C190">
        <v>42.22</v>
      </c>
      <c r="D190">
        <v>-71.040000000000006</v>
      </c>
      <c r="E190">
        <v>60159</v>
      </c>
      <c r="F190">
        <f t="shared" si="16"/>
        <v>-0.12364216503003433</v>
      </c>
      <c r="G190">
        <f t="shared" si="17"/>
        <v>0.10829039955488895</v>
      </c>
      <c r="H190">
        <f t="shared" si="18"/>
        <v>-13.724280318333811</v>
      </c>
      <c r="I190">
        <f t="shared" si="19"/>
        <v>8.9339579632783384</v>
      </c>
      <c r="J190">
        <f t="shared" si="20"/>
        <v>16.375941962092725</v>
      </c>
      <c r="K190" t="str">
        <f t="shared" si="21"/>
        <v>No</v>
      </c>
      <c r="L190" t="str">
        <f t="shared" si="22"/>
        <v>No</v>
      </c>
      <c r="M190" t="str">
        <f t="shared" si="23"/>
        <v>no</v>
      </c>
    </row>
    <row r="191" spans="1:13" hidden="1" x14ac:dyDescent="0.35">
      <c r="A191" t="s">
        <v>295</v>
      </c>
      <c r="B191" t="s">
        <v>270</v>
      </c>
      <c r="C191">
        <v>42.116700000000002</v>
      </c>
      <c r="D191">
        <v>-71.166700000000006</v>
      </c>
      <c r="E191">
        <v>15459</v>
      </c>
      <c r="F191">
        <f t="shared" si="16"/>
        <v>-0.22694216503003162</v>
      </c>
      <c r="G191">
        <f t="shared" si="17"/>
        <v>-1.8409600445110641E-2</v>
      </c>
      <c r="H191">
        <f t="shared" si="18"/>
        <v>-25.19058031833351</v>
      </c>
      <c r="I191">
        <f t="shared" si="19"/>
        <v>-1.5187920367216279</v>
      </c>
      <c r="J191">
        <f t="shared" si="20"/>
        <v>25.236324336662431</v>
      </c>
      <c r="K191" t="str">
        <f t="shared" si="21"/>
        <v>No</v>
      </c>
      <c r="L191" t="str">
        <f t="shared" si="22"/>
        <v>No</v>
      </c>
      <c r="M191" t="str">
        <f t="shared" si="23"/>
        <v>no</v>
      </c>
    </row>
    <row r="192" spans="1:13" hidden="1" x14ac:dyDescent="0.35">
      <c r="A192" t="s">
        <v>238</v>
      </c>
      <c r="B192" t="s">
        <v>187</v>
      </c>
      <c r="C192">
        <v>42.55</v>
      </c>
      <c r="D192">
        <v>-71.150000000000006</v>
      </c>
      <c r="E192">
        <v>23802</v>
      </c>
      <c r="F192">
        <f t="shared" si="16"/>
        <v>0.20635783496996396</v>
      </c>
      <c r="G192">
        <f t="shared" si="17"/>
        <v>-1.7096004451104818E-3</v>
      </c>
      <c r="H192">
        <f t="shared" si="18"/>
        <v>22.905719681666</v>
      </c>
      <c r="I192">
        <f t="shared" si="19"/>
        <v>-0.14104203672161475</v>
      </c>
      <c r="J192">
        <f t="shared" si="20"/>
        <v>22.906153910929344</v>
      </c>
      <c r="K192" t="str">
        <f t="shared" si="21"/>
        <v>No</v>
      </c>
      <c r="L192" t="str">
        <f t="shared" si="22"/>
        <v>No</v>
      </c>
      <c r="M192" t="str">
        <f t="shared" si="23"/>
        <v>no</v>
      </c>
    </row>
    <row r="193" spans="1:13" x14ac:dyDescent="0.35">
      <c r="A193" t="s">
        <v>239</v>
      </c>
      <c r="B193" t="s">
        <v>187</v>
      </c>
      <c r="C193">
        <v>42.45</v>
      </c>
      <c r="D193">
        <v>-71.133300000000006</v>
      </c>
      <c r="E193">
        <v>23953</v>
      </c>
      <c r="F193">
        <f t="shared" si="16"/>
        <v>0.10635783496996964</v>
      </c>
      <c r="G193">
        <f t="shared" si="17"/>
        <v>1.4990399554889677E-2</v>
      </c>
      <c r="H193">
        <f t="shared" si="18"/>
        <v>11.805719681666631</v>
      </c>
      <c r="I193">
        <f t="shared" si="19"/>
        <v>1.2367079632783984</v>
      </c>
      <c r="J193">
        <f t="shared" si="20"/>
        <v>11.870318605181877</v>
      </c>
      <c r="K193" t="str">
        <f t="shared" si="21"/>
        <v>Yes</v>
      </c>
      <c r="L193" t="str">
        <f t="shared" si="22"/>
        <v>No</v>
      </c>
      <c r="M193" t="str">
        <f t="shared" si="23"/>
        <v>no</v>
      </c>
    </row>
    <row r="194" spans="1:13" x14ac:dyDescent="0.35">
      <c r="A194" t="s">
        <v>300</v>
      </c>
      <c r="B194" t="s">
        <v>297</v>
      </c>
      <c r="C194">
        <v>42.372399999999999</v>
      </c>
      <c r="D194">
        <v>-71.014200000000002</v>
      </c>
      <c r="E194">
        <v>18739</v>
      </c>
      <c r="F194">
        <f t="shared" si="16"/>
        <v>2.8757834969965756E-2</v>
      </c>
      <c r="G194">
        <f t="shared" si="17"/>
        <v>0.13409039955489277</v>
      </c>
      <c r="H194">
        <f t="shared" si="18"/>
        <v>3.192119681666199</v>
      </c>
      <c r="I194">
        <f t="shared" si="19"/>
        <v>11.062457963278653</v>
      </c>
      <c r="J194">
        <f t="shared" si="20"/>
        <v>11.513800599775385</v>
      </c>
      <c r="K194" t="str">
        <f t="shared" si="21"/>
        <v>Yes</v>
      </c>
      <c r="L194" t="str">
        <f t="shared" si="22"/>
        <v>No</v>
      </c>
      <c r="M194" t="str">
        <f t="shared" si="23"/>
        <v>no</v>
      </c>
    </row>
    <row r="195" spans="1:13" hidden="1" x14ac:dyDescent="0.35">
      <c r="A195" t="s">
        <v>240</v>
      </c>
      <c r="B195" t="s">
        <v>187</v>
      </c>
      <c r="C195">
        <v>42.490600000000001</v>
      </c>
      <c r="D195">
        <v>-71.154399999999995</v>
      </c>
      <c r="E195">
        <v>43895</v>
      </c>
      <c r="F195">
        <f t="shared" si="16"/>
        <v>0.14695783496996739</v>
      </c>
      <c r="G195">
        <f t="shared" si="17"/>
        <v>-6.1096004451002273E-3</v>
      </c>
      <c r="H195">
        <f t="shared" si="18"/>
        <v>16.312319681666381</v>
      </c>
      <c r="I195">
        <f t="shared" si="19"/>
        <v>-0.50404203672076875</v>
      </c>
      <c r="J195">
        <f t="shared" si="20"/>
        <v>16.3201051397245</v>
      </c>
      <c r="K195" t="str">
        <f t="shared" si="21"/>
        <v>No</v>
      </c>
      <c r="L195" t="str">
        <f t="shared" si="22"/>
        <v>No</v>
      </c>
      <c r="M195" t="str">
        <f t="shared" si="23"/>
        <v>no</v>
      </c>
    </row>
    <row r="196" spans="1:13" hidden="1" x14ac:dyDescent="0.35">
      <c r="A196" t="s">
        <v>268</v>
      </c>
      <c r="B196" t="s">
        <v>243</v>
      </c>
      <c r="C196">
        <v>42.083300000000001</v>
      </c>
      <c r="D196">
        <v>-71.349999999999994</v>
      </c>
      <c r="E196">
        <v>12516</v>
      </c>
      <c r="F196">
        <f t="shared" si="16"/>
        <v>-0.26034216503003194</v>
      </c>
      <c r="G196">
        <f t="shared" si="17"/>
        <v>-0.20170960044509911</v>
      </c>
      <c r="H196">
        <f t="shared" si="18"/>
        <v>-28.897980318333545</v>
      </c>
      <c r="I196">
        <f t="shared" si="19"/>
        <v>-16.641042036720677</v>
      </c>
      <c r="J196">
        <f t="shared" si="20"/>
        <v>33.346927093012596</v>
      </c>
      <c r="K196" t="str">
        <f t="shared" si="21"/>
        <v>No</v>
      </c>
      <c r="L196" t="str">
        <f t="shared" si="22"/>
        <v>No</v>
      </c>
      <c r="M196" t="str">
        <f t="shared" si="23"/>
        <v>no</v>
      </c>
    </row>
    <row r="197" spans="1:13" hidden="1" x14ac:dyDescent="0.35">
      <c r="A197" t="s">
        <v>18</v>
      </c>
      <c r="B197" t="s">
        <v>4</v>
      </c>
      <c r="C197">
        <v>41.708399999999997</v>
      </c>
      <c r="D197">
        <v>-70.229200000000006</v>
      </c>
      <c r="E197">
        <v>25208</v>
      </c>
      <c r="F197">
        <f t="shared" si="16"/>
        <v>-0.63524216503003572</v>
      </c>
      <c r="G197">
        <f t="shared" si="17"/>
        <v>0.91909039955488936</v>
      </c>
      <c r="H197">
        <f t="shared" si="18"/>
        <v>-70.511880318333965</v>
      </c>
      <c r="I197">
        <f t="shared" si="19"/>
        <v>75.824957963278365</v>
      </c>
      <c r="J197">
        <f t="shared" si="20"/>
        <v>103.54394968398677</v>
      </c>
      <c r="K197" t="str">
        <f t="shared" si="21"/>
        <v>No</v>
      </c>
      <c r="L197" t="str">
        <f t="shared" si="22"/>
        <v>No</v>
      </c>
      <c r="M197" t="str">
        <f t="shared" si="23"/>
        <v>no</v>
      </c>
    </row>
    <row r="199" spans="1:13" x14ac:dyDescent="0.35">
      <c r="A199" s="9" t="s">
        <v>417</v>
      </c>
      <c r="B199" s="9"/>
      <c r="C199" s="9"/>
      <c r="D199" s="9"/>
      <c r="E199" s="9"/>
      <c r="F199" s="7">
        <f>SUMIFS(E8:E197,K8:K197,"Yes")</f>
        <v>1724123</v>
      </c>
    </row>
  </sheetData>
  <autoFilter ref="A7:M197" xr:uid="{32AF811B-A4E7-45EC-94DF-5F04CD2E784D}">
    <filterColumn colId="10">
      <filters>
        <filter val="Yes"/>
      </filters>
    </filterColumn>
  </autoFilter>
  <mergeCells count="1">
    <mergeCell ref="A199:E19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066A-6D4A-4CCF-A900-D745CA4AB042}">
  <sheetPr filterMode="1"/>
  <dimension ref="A3:N226"/>
  <sheetViews>
    <sheetView topLeftCell="A106" zoomScale="70" zoomScaleNormal="70" workbookViewId="0">
      <selection activeCell="G232" sqref="G232"/>
    </sheetView>
  </sheetViews>
  <sheetFormatPr defaultRowHeight="14.5" x14ac:dyDescent="0.35"/>
  <cols>
    <col min="1" max="1" width="16.08984375" bestFit="1" customWidth="1"/>
    <col min="2" max="2" width="11.90625" bestFit="1" customWidth="1"/>
    <col min="6" max="6" width="9.6328125" bestFit="1" customWidth="1"/>
    <col min="7" max="7" width="22.90625" bestFit="1" customWidth="1"/>
    <col min="8" max="8" width="15.1796875" bestFit="1" customWidth="1"/>
    <col min="9" max="9" width="13.453125" bestFit="1" customWidth="1"/>
    <col min="10" max="10" width="15" bestFit="1" customWidth="1"/>
    <col min="11" max="11" width="20.1796875" bestFit="1" customWidth="1"/>
    <col min="12" max="12" width="16.90625" bestFit="1" customWidth="1"/>
  </cols>
  <sheetData>
    <row r="3" spans="1:14" x14ac:dyDescent="0.35">
      <c r="A3" t="s">
        <v>392</v>
      </c>
      <c r="B3" t="s">
        <v>177</v>
      </c>
      <c r="C3">
        <v>42.239381643738618</v>
      </c>
      <c r="D3">
        <v>-72.697264083526079</v>
      </c>
      <c r="F3" t="s">
        <v>416</v>
      </c>
      <c r="G3" t="s">
        <v>405</v>
      </c>
      <c r="H3" t="s">
        <v>408</v>
      </c>
      <c r="I3" t="s">
        <v>409</v>
      </c>
    </row>
    <row r="4" spans="1:14" x14ac:dyDescent="0.35">
      <c r="G4" t="s">
        <v>406</v>
      </c>
      <c r="H4">
        <v>111</v>
      </c>
    </row>
    <row r="5" spans="1:14" x14ac:dyDescent="0.35">
      <c r="G5" t="s">
        <v>407</v>
      </c>
      <c r="H5">
        <v>82.5</v>
      </c>
    </row>
    <row r="7" spans="1:14" x14ac:dyDescent="0.35">
      <c r="A7" s="1" t="s">
        <v>0</v>
      </c>
      <c r="B7" s="1" t="s">
        <v>389</v>
      </c>
      <c r="C7" s="1" t="s">
        <v>2</v>
      </c>
      <c r="D7" s="1" t="s">
        <v>3</v>
      </c>
      <c r="E7" s="2" t="s">
        <v>361</v>
      </c>
      <c r="F7" s="2" t="s">
        <v>365</v>
      </c>
      <c r="G7" s="2" t="s">
        <v>410</v>
      </c>
      <c r="H7" s="2" t="s">
        <v>411</v>
      </c>
      <c r="I7" s="2" t="s">
        <v>412</v>
      </c>
      <c r="J7" s="2" t="s">
        <v>413</v>
      </c>
      <c r="K7" s="2" t="s">
        <v>414</v>
      </c>
      <c r="L7" t="s">
        <v>415</v>
      </c>
      <c r="M7" s="8" t="s">
        <v>427</v>
      </c>
      <c r="N7" s="8" t="s">
        <v>426</v>
      </c>
    </row>
    <row r="8" spans="1:14" x14ac:dyDescent="0.35">
      <c r="A8" t="s">
        <v>159</v>
      </c>
      <c r="B8" t="s">
        <v>143</v>
      </c>
      <c r="C8">
        <v>42.101500000000001</v>
      </c>
      <c r="D8">
        <v>-72.589799999999997</v>
      </c>
      <c r="E8" t="s">
        <v>364</v>
      </c>
      <c r="F8">
        <v>154888</v>
      </c>
      <c r="G8">
        <f t="shared" ref="G8:G39" si="0">C8-$C$3</f>
        <v>-0.13788164373861633</v>
      </c>
      <c r="H8">
        <f t="shared" ref="H8:H39" si="1">D8-$D$3</f>
        <v>0.10746408352608228</v>
      </c>
      <c r="I8">
        <f t="shared" ref="I8:I39" si="2">111*G8</f>
        <v>-15.304862454986413</v>
      </c>
      <c r="J8">
        <f t="shared" ref="J8:J39" si="3">82.5*H8</f>
        <v>8.8657868909017878</v>
      </c>
      <c r="K8">
        <f t="shared" ref="K8:K39" si="4">SQRT(I8^2+J8^2)</f>
        <v>17.687311609199934</v>
      </c>
      <c r="L8" t="str">
        <f t="shared" ref="L8:L39" si="5">IF(K8&lt;=15,"Yes","No")</f>
        <v>No</v>
      </c>
      <c r="M8" t="str">
        <f>IF(K8&lt;=5, "Yes", "No")</f>
        <v>No</v>
      </c>
      <c r="N8" t="str">
        <f>IF(K8&lt;=10,"Yes","no")</f>
        <v>no</v>
      </c>
    </row>
    <row r="9" spans="1:14" x14ac:dyDescent="0.35">
      <c r="A9" t="s">
        <v>147</v>
      </c>
      <c r="B9" t="s">
        <v>143</v>
      </c>
      <c r="C9">
        <v>42.160499999999999</v>
      </c>
      <c r="D9">
        <v>-72.578800000000001</v>
      </c>
      <c r="E9" t="s">
        <v>364</v>
      </c>
      <c r="F9">
        <v>55381</v>
      </c>
      <c r="G9">
        <f t="shared" si="0"/>
        <v>-7.8881643738618834E-2</v>
      </c>
      <c r="H9">
        <f t="shared" si="1"/>
        <v>0.11846408352607796</v>
      </c>
      <c r="I9">
        <f t="shared" si="2"/>
        <v>-8.7558624549866906</v>
      </c>
      <c r="J9">
        <f t="shared" si="3"/>
        <v>9.7732868909014314</v>
      </c>
      <c r="K9">
        <f t="shared" si="4"/>
        <v>13.121823957914971</v>
      </c>
      <c r="L9" t="str">
        <f t="shared" si="5"/>
        <v>Yes</v>
      </c>
      <c r="M9" t="str">
        <f t="shared" ref="M9:M72" si="6">IF(K9&lt;=5, "Yes", "No")</f>
        <v>No</v>
      </c>
      <c r="N9" t="str">
        <f t="shared" ref="N9:N72" si="7">IF(K9&lt;=10,"Yes","no")</f>
        <v>no</v>
      </c>
    </row>
    <row r="10" spans="1:14" x14ac:dyDescent="0.35">
      <c r="A10" t="s">
        <v>41</v>
      </c>
      <c r="B10" t="s">
        <v>20</v>
      </c>
      <c r="C10">
        <v>42.450800000000001</v>
      </c>
      <c r="D10">
        <v>-73.252600000000001</v>
      </c>
      <c r="E10" t="s">
        <v>364</v>
      </c>
      <c r="F10">
        <v>43121</v>
      </c>
      <c r="G10">
        <f t="shared" si="0"/>
        <v>0.21141835626138317</v>
      </c>
      <c r="H10">
        <f t="shared" si="1"/>
        <v>-0.555335916473922</v>
      </c>
      <c r="I10">
        <f t="shared" si="2"/>
        <v>23.467437545013532</v>
      </c>
      <c r="J10">
        <f t="shared" si="3"/>
        <v>-45.815213109098565</v>
      </c>
      <c r="K10">
        <f t="shared" si="4"/>
        <v>51.475764949743365</v>
      </c>
      <c r="L10" t="str">
        <f t="shared" si="5"/>
        <v>No</v>
      </c>
      <c r="M10" t="str">
        <f t="shared" si="6"/>
        <v>No</v>
      </c>
      <c r="N10" t="str">
        <f t="shared" si="7"/>
        <v>no</v>
      </c>
    </row>
    <row r="11" spans="1:14" x14ac:dyDescent="0.35">
      <c r="A11" t="s">
        <v>165</v>
      </c>
      <c r="B11" t="s">
        <v>166</v>
      </c>
      <c r="C11">
        <v>42.373100000000001</v>
      </c>
      <c r="D11">
        <v>-72.529700000000005</v>
      </c>
      <c r="E11" t="s">
        <v>364</v>
      </c>
      <c r="F11">
        <v>40989</v>
      </c>
      <c r="G11">
        <f t="shared" si="0"/>
        <v>0.13371835626138306</v>
      </c>
      <c r="H11">
        <f t="shared" si="1"/>
        <v>0.16756408352607366</v>
      </c>
      <c r="I11">
        <f t="shared" si="2"/>
        <v>14.84273754501352</v>
      </c>
      <c r="J11">
        <f t="shared" si="3"/>
        <v>13.824036890901077</v>
      </c>
      <c r="K11">
        <f t="shared" si="4"/>
        <v>20.283265363129967</v>
      </c>
      <c r="L11" t="str">
        <f t="shared" si="5"/>
        <v>No</v>
      </c>
      <c r="M11" t="str">
        <f t="shared" si="6"/>
        <v>No</v>
      </c>
      <c r="N11" t="str">
        <f t="shared" si="7"/>
        <v>no</v>
      </c>
    </row>
    <row r="12" spans="1:14" x14ac:dyDescent="0.35">
      <c r="A12" t="s">
        <v>163</v>
      </c>
      <c r="B12" t="s">
        <v>143</v>
      </c>
      <c r="C12">
        <v>42.133299999999998</v>
      </c>
      <c r="D12">
        <v>-72.7667</v>
      </c>
      <c r="E12" t="s">
        <v>364</v>
      </c>
      <c r="F12">
        <v>40403</v>
      </c>
      <c r="G12">
        <f t="shared" si="0"/>
        <v>-0.10608164373861939</v>
      </c>
      <c r="H12">
        <f t="shared" si="1"/>
        <v>-6.9435916473921111E-2</v>
      </c>
      <c r="I12">
        <f t="shared" si="2"/>
        <v>-11.775062454986752</v>
      </c>
      <c r="J12">
        <f t="shared" si="3"/>
        <v>-5.7284631090984917</v>
      </c>
      <c r="K12">
        <f t="shared" si="4"/>
        <v>13.094555563712003</v>
      </c>
      <c r="L12" t="str">
        <f t="shared" si="5"/>
        <v>Yes</v>
      </c>
      <c r="M12" t="str">
        <f t="shared" si="6"/>
        <v>No</v>
      </c>
      <c r="N12" t="str">
        <f t="shared" si="7"/>
        <v>no</v>
      </c>
    </row>
    <row r="13" spans="1:14" x14ac:dyDescent="0.35">
      <c r="A13" t="s">
        <v>151</v>
      </c>
      <c r="B13" t="s">
        <v>143</v>
      </c>
      <c r="C13">
        <v>42.203800000000001</v>
      </c>
      <c r="D13">
        <v>-72.618899999999996</v>
      </c>
      <c r="E13" t="s">
        <v>364</v>
      </c>
      <c r="F13">
        <v>37838</v>
      </c>
      <c r="G13">
        <f t="shared" si="0"/>
        <v>-3.5581643738616719E-2</v>
      </c>
      <c r="H13">
        <f t="shared" si="1"/>
        <v>7.8364083526082595E-2</v>
      </c>
      <c r="I13">
        <f t="shared" si="2"/>
        <v>-3.9495624549864559</v>
      </c>
      <c r="J13">
        <f t="shared" si="3"/>
        <v>6.4650368909018141</v>
      </c>
      <c r="K13">
        <f t="shared" si="4"/>
        <v>7.5759979927769274</v>
      </c>
      <c r="L13" t="str">
        <f t="shared" si="5"/>
        <v>Yes</v>
      </c>
      <c r="M13" t="str">
        <f t="shared" si="6"/>
        <v>No</v>
      </c>
      <c r="N13" t="str">
        <f t="shared" si="7"/>
        <v>Yes</v>
      </c>
    </row>
    <row r="14" spans="1:14" x14ac:dyDescent="0.35">
      <c r="A14" t="s">
        <v>177</v>
      </c>
      <c r="B14" t="s">
        <v>166</v>
      </c>
      <c r="C14">
        <v>42.326500000000003</v>
      </c>
      <c r="D14">
        <v>-72.654600000000002</v>
      </c>
      <c r="E14" t="s">
        <v>364</v>
      </c>
      <c r="F14">
        <v>31315</v>
      </c>
      <c r="G14">
        <f t="shared" si="0"/>
        <v>8.7118356261385088E-2</v>
      </c>
      <c r="H14">
        <f t="shared" si="1"/>
        <v>4.2664083526076979E-2</v>
      </c>
      <c r="I14">
        <f t="shared" si="2"/>
        <v>9.6701375450137448</v>
      </c>
      <c r="J14">
        <f t="shared" si="3"/>
        <v>3.5197868909013508</v>
      </c>
      <c r="K14">
        <f t="shared" si="4"/>
        <v>10.290794910833927</v>
      </c>
      <c r="L14" t="str">
        <f t="shared" si="5"/>
        <v>Yes</v>
      </c>
      <c r="M14" t="str">
        <f t="shared" si="6"/>
        <v>No</v>
      </c>
      <c r="N14" t="str">
        <f t="shared" si="7"/>
        <v>no</v>
      </c>
    </row>
    <row r="15" spans="1:14" x14ac:dyDescent="0.35">
      <c r="A15" t="s">
        <v>162</v>
      </c>
      <c r="B15" t="s">
        <v>143</v>
      </c>
      <c r="C15">
        <v>42.1096</v>
      </c>
      <c r="D15">
        <v>-72.631900000000002</v>
      </c>
      <c r="E15" t="s">
        <v>364</v>
      </c>
      <c r="F15">
        <v>29028</v>
      </c>
      <c r="G15">
        <f t="shared" si="0"/>
        <v>-0.12978164373861745</v>
      </c>
      <c r="H15">
        <f t="shared" si="1"/>
        <v>6.5364083526077366E-2</v>
      </c>
      <c r="I15">
        <f t="shared" si="2"/>
        <v>-14.405762454986537</v>
      </c>
      <c r="J15">
        <f t="shared" si="3"/>
        <v>5.3925368909013827</v>
      </c>
      <c r="K15">
        <f t="shared" si="4"/>
        <v>15.381984463300959</v>
      </c>
      <c r="L15" t="str">
        <f t="shared" si="5"/>
        <v>No</v>
      </c>
      <c r="M15" t="str">
        <f t="shared" si="6"/>
        <v>No</v>
      </c>
      <c r="N15" t="str">
        <f t="shared" si="7"/>
        <v>no</v>
      </c>
    </row>
    <row r="16" spans="1:14" x14ac:dyDescent="0.35">
      <c r="A16" t="s">
        <v>142</v>
      </c>
      <c r="B16" t="s">
        <v>143</v>
      </c>
      <c r="C16">
        <v>42.066699999999997</v>
      </c>
      <c r="D16">
        <v>-72.633300000000006</v>
      </c>
      <c r="E16" t="s">
        <v>364</v>
      </c>
      <c r="F16">
        <v>28749</v>
      </c>
      <c r="G16">
        <f t="shared" si="0"/>
        <v>-0.17268164373862049</v>
      </c>
      <c r="H16">
        <f t="shared" si="1"/>
        <v>6.3964083526073523E-2</v>
      </c>
      <c r="I16">
        <f t="shared" si="2"/>
        <v>-19.167662454986875</v>
      </c>
      <c r="J16">
        <f t="shared" si="3"/>
        <v>5.2770368909010656</v>
      </c>
      <c r="K16">
        <f t="shared" si="4"/>
        <v>19.880804871439292</v>
      </c>
      <c r="L16" t="str">
        <f t="shared" si="5"/>
        <v>No</v>
      </c>
      <c r="M16" t="str">
        <f t="shared" si="6"/>
        <v>No</v>
      </c>
      <c r="N16" t="str">
        <f t="shared" si="7"/>
        <v>no</v>
      </c>
    </row>
    <row r="17" spans="1:14" x14ac:dyDescent="0.35">
      <c r="A17" t="s">
        <v>153</v>
      </c>
      <c r="B17" t="s">
        <v>143</v>
      </c>
      <c r="C17">
        <v>42.116700000000002</v>
      </c>
      <c r="D17">
        <v>-72.466700000000003</v>
      </c>
      <c r="E17" t="s">
        <v>364</v>
      </c>
      <c r="F17">
        <v>21118</v>
      </c>
      <c r="G17">
        <f t="shared" si="0"/>
        <v>-0.12268164373861623</v>
      </c>
      <c r="H17">
        <f t="shared" si="1"/>
        <v>0.23056408352607605</v>
      </c>
      <c r="I17">
        <f t="shared" si="2"/>
        <v>-13.617662454986402</v>
      </c>
      <c r="J17">
        <f t="shared" si="3"/>
        <v>19.021536890901274</v>
      </c>
      <c r="K17">
        <f t="shared" si="4"/>
        <v>23.393580239669692</v>
      </c>
      <c r="L17" t="str">
        <f t="shared" si="5"/>
        <v>No</v>
      </c>
      <c r="M17" t="str">
        <f t="shared" si="6"/>
        <v>No</v>
      </c>
      <c r="N17" t="str">
        <f t="shared" si="7"/>
        <v>no</v>
      </c>
    </row>
    <row r="18" spans="1:14" x14ac:dyDescent="0.35">
      <c r="A18" t="s">
        <v>180</v>
      </c>
      <c r="B18" t="s">
        <v>166</v>
      </c>
      <c r="C18">
        <v>42.25</v>
      </c>
      <c r="D18">
        <v>-72.533299999999997</v>
      </c>
      <c r="E18" t="s">
        <v>364</v>
      </c>
      <c r="F18">
        <v>18031</v>
      </c>
      <c r="G18">
        <f t="shared" si="0"/>
        <v>1.0618356261382189E-2</v>
      </c>
      <c r="H18">
        <f t="shared" si="1"/>
        <v>0.16396408352608205</v>
      </c>
      <c r="I18">
        <f t="shared" si="2"/>
        <v>1.178637545013423</v>
      </c>
      <c r="J18">
        <f t="shared" si="3"/>
        <v>13.527036890901769</v>
      </c>
      <c r="K18">
        <f t="shared" si="4"/>
        <v>13.578288312977179</v>
      </c>
      <c r="L18" t="str">
        <f t="shared" si="5"/>
        <v>Yes</v>
      </c>
      <c r="M18" t="str">
        <f t="shared" si="6"/>
        <v>No</v>
      </c>
      <c r="N18" t="str">
        <f t="shared" si="7"/>
        <v>no</v>
      </c>
    </row>
    <row r="19" spans="1:14" x14ac:dyDescent="0.35">
      <c r="A19" t="s">
        <v>125</v>
      </c>
      <c r="B19" t="s">
        <v>116</v>
      </c>
      <c r="C19">
        <v>42.596600000000002</v>
      </c>
      <c r="D19">
        <v>-72.596100000000007</v>
      </c>
      <c r="E19" t="s">
        <v>364</v>
      </c>
      <c r="F19">
        <v>17633</v>
      </c>
      <c r="G19">
        <f t="shared" si="0"/>
        <v>0.35721835626138443</v>
      </c>
      <c r="H19">
        <f t="shared" si="1"/>
        <v>0.10116408352607209</v>
      </c>
      <c r="I19">
        <f t="shared" si="2"/>
        <v>39.651237545013672</v>
      </c>
      <c r="J19">
        <f t="shared" si="3"/>
        <v>8.3460368909009475</v>
      </c>
      <c r="K19">
        <f t="shared" si="4"/>
        <v>40.520081078835233</v>
      </c>
      <c r="L19" t="str">
        <f t="shared" si="5"/>
        <v>No</v>
      </c>
      <c r="M19" t="str">
        <f t="shared" si="6"/>
        <v>No</v>
      </c>
      <c r="N19" t="str">
        <f t="shared" si="7"/>
        <v>no</v>
      </c>
    </row>
    <row r="20" spans="1:14" x14ac:dyDescent="0.35">
      <c r="A20" t="s">
        <v>148</v>
      </c>
      <c r="B20" t="s">
        <v>143</v>
      </c>
      <c r="C20">
        <v>42.033299999999997</v>
      </c>
      <c r="D20">
        <v>-72.5</v>
      </c>
      <c r="E20" t="s">
        <v>364</v>
      </c>
      <c r="F20">
        <v>16515</v>
      </c>
      <c r="G20">
        <f t="shared" si="0"/>
        <v>-0.20608164373862081</v>
      </c>
      <c r="H20">
        <f t="shared" si="1"/>
        <v>0.19726408352607905</v>
      </c>
      <c r="I20">
        <f t="shared" si="2"/>
        <v>-22.87506245498691</v>
      </c>
      <c r="J20">
        <f t="shared" si="3"/>
        <v>16.274286890901521</v>
      </c>
      <c r="K20">
        <f t="shared" si="4"/>
        <v>28.07349098574883</v>
      </c>
      <c r="L20" t="str">
        <f t="shared" si="5"/>
        <v>No</v>
      </c>
      <c r="M20" t="str">
        <f t="shared" si="6"/>
        <v>No</v>
      </c>
      <c r="N20" t="str">
        <f t="shared" si="7"/>
        <v>no</v>
      </c>
    </row>
    <row r="21" spans="1:14" x14ac:dyDescent="0.35">
      <c r="A21" t="s">
        <v>170</v>
      </c>
      <c r="B21" t="s">
        <v>166</v>
      </c>
      <c r="C21">
        <v>42.2667</v>
      </c>
      <c r="D21">
        <v>-72.7</v>
      </c>
      <c r="E21" t="s">
        <v>364</v>
      </c>
      <c r="F21">
        <v>16103</v>
      </c>
      <c r="G21">
        <f t="shared" si="0"/>
        <v>2.7318356261382348E-2</v>
      </c>
      <c r="H21">
        <f t="shared" si="1"/>
        <v>-2.735916473923794E-3</v>
      </c>
      <c r="I21">
        <f t="shared" si="2"/>
        <v>3.0323375450134407</v>
      </c>
      <c r="J21">
        <f t="shared" si="3"/>
        <v>-0.22571310909871301</v>
      </c>
      <c r="K21">
        <f t="shared" si="4"/>
        <v>3.0407264583512186</v>
      </c>
      <c r="L21" t="str">
        <f t="shared" si="5"/>
        <v>Yes</v>
      </c>
      <c r="M21" t="str">
        <f t="shared" si="6"/>
        <v>Yes</v>
      </c>
      <c r="N21" t="str">
        <f t="shared" si="7"/>
        <v>Yes</v>
      </c>
    </row>
    <row r="22" spans="1:14" x14ac:dyDescent="0.35">
      <c r="A22" t="s">
        <v>152</v>
      </c>
      <c r="B22" t="s">
        <v>143</v>
      </c>
      <c r="C22">
        <v>42.05</v>
      </c>
      <c r="D22">
        <v>-72.45</v>
      </c>
      <c r="E22" t="s">
        <v>364</v>
      </c>
      <c r="F22">
        <v>15712</v>
      </c>
      <c r="G22">
        <f t="shared" si="0"/>
        <v>-0.18938164373862065</v>
      </c>
      <c r="H22">
        <f t="shared" si="1"/>
        <v>0.24726408352607621</v>
      </c>
      <c r="I22">
        <f t="shared" si="2"/>
        <v>-21.021362454986892</v>
      </c>
      <c r="J22">
        <f t="shared" si="3"/>
        <v>20.399286890901287</v>
      </c>
      <c r="K22">
        <f t="shared" si="4"/>
        <v>29.292124967663742</v>
      </c>
      <c r="L22" t="str">
        <f t="shared" si="5"/>
        <v>No</v>
      </c>
      <c r="M22" t="str">
        <f t="shared" si="6"/>
        <v>No</v>
      </c>
      <c r="N22" t="str">
        <f t="shared" si="7"/>
        <v>no</v>
      </c>
    </row>
    <row r="23" spans="1:14" x14ac:dyDescent="0.35">
      <c r="A23" t="s">
        <v>167</v>
      </c>
      <c r="B23" t="s">
        <v>166</v>
      </c>
      <c r="C23">
        <v>42.2667</v>
      </c>
      <c r="D23">
        <v>-72.400000000000006</v>
      </c>
      <c r="E23" t="s">
        <v>364</v>
      </c>
      <c r="F23">
        <v>15372</v>
      </c>
      <c r="G23">
        <f t="shared" si="0"/>
        <v>2.7318356261382348E-2</v>
      </c>
      <c r="H23">
        <f t="shared" si="1"/>
        <v>0.29726408352607336</v>
      </c>
      <c r="I23">
        <f t="shared" si="2"/>
        <v>3.0323375450134407</v>
      </c>
      <c r="J23">
        <f t="shared" si="3"/>
        <v>24.524286890901053</v>
      </c>
      <c r="K23">
        <f t="shared" si="4"/>
        <v>24.711044463844893</v>
      </c>
      <c r="L23" t="str">
        <f t="shared" si="5"/>
        <v>No</v>
      </c>
      <c r="M23" t="str">
        <f t="shared" si="6"/>
        <v>No</v>
      </c>
      <c r="N23" t="str">
        <f t="shared" si="7"/>
        <v>no</v>
      </c>
    </row>
    <row r="24" spans="1:14" x14ac:dyDescent="0.35">
      <c r="A24" t="s">
        <v>164</v>
      </c>
      <c r="B24" t="s">
        <v>143</v>
      </c>
      <c r="C24">
        <v>42.083300000000001</v>
      </c>
      <c r="D24">
        <v>-72.416700000000006</v>
      </c>
      <c r="E24" t="s">
        <v>364</v>
      </c>
      <c r="F24">
        <v>14663</v>
      </c>
      <c r="G24">
        <f t="shared" si="0"/>
        <v>-0.15608164373861655</v>
      </c>
      <c r="H24">
        <f t="shared" si="1"/>
        <v>0.2805640835260732</v>
      </c>
      <c r="I24">
        <f t="shared" si="2"/>
        <v>-17.325062454986437</v>
      </c>
      <c r="J24">
        <f t="shared" si="3"/>
        <v>23.146536890901039</v>
      </c>
      <c r="K24">
        <f t="shared" si="4"/>
        <v>28.912280420454962</v>
      </c>
      <c r="L24" t="str">
        <f t="shared" si="5"/>
        <v>No</v>
      </c>
      <c r="M24" t="str">
        <f t="shared" si="6"/>
        <v>No</v>
      </c>
      <c r="N24" t="str">
        <f t="shared" si="7"/>
        <v>no</v>
      </c>
    </row>
    <row r="25" spans="1:14" x14ac:dyDescent="0.35">
      <c r="A25" t="s">
        <v>38</v>
      </c>
      <c r="B25" t="s">
        <v>20</v>
      </c>
      <c r="C25">
        <v>42.684800000000003</v>
      </c>
      <c r="D25">
        <v>-73.115499999999997</v>
      </c>
      <c r="E25" t="s">
        <v>364</v>
      </c>
      <c r="F25">
        <v>12492</v>
      </c>
      <c r="G25">
        <f t="shared" si="0"/>
        <v>0.44541835626138493</v>
      </c>
      <c r="H25">
        <f t="shared" si="1"/>
        <v>-0.41823591647391822</v>
      </c>
      <c r="I25">
        <f t="shared" si="2"/>
        <v>49.441437545013727</v>
      </c>
      <c r="J25">
        <f t="shared" si="3"/>
        <v>-34.504463109098253</v>
      </c>
      <c r="K25">
        <f t="shared" si="4"/>
        <v>60.291074969390081</v>
      </c>
      <c r="L25" t="str">
        <f t="shared" si="5"/>
        <v>No</v>
      </c>
      <c r="M25" t="str">
        <f t="shared" si="6"/>
        <v>No</v>
      </c>
      <c r="N25" t="str">
        <f t="shared" si="7"/>
        <v>no</v>
      </c>
    </row>
    <row r="26" spans="1:14" x14ac:dyDescent="0.35">
      <c r="A26" t="s">
        <v>156</v>
      </c>
      <c r="B26" t="s">
        <v>143</v>
      </c>
      <c r="C26">
        <v>42.166699999999999</v>
      </c>
      <c r="D26">
        <v>-72.333299999999994</v>
      </c>
      <c r="E26" t="s">
        <v>364</v>
      </c>
      <c r="F26">
        <v>12388</v>
      </c>
      <c r="G26">
        <f t="shared" si="0"/>
        <v>-7.2681643738619073E-2</v>
      </c>
      <c r="H26">
        <f t="shared" si="1"/>
        <v>0.36396408352608489</v>
      </c>
      <c r="I26">
        <f t="shared" si="2"/>
        <v>-8.0676624549867171</v>
      </c>
      <c r="J26">
        <f t="shared" si="3"/>
        <v>30.027036890902004</v>
      </c>
      <c r="K26">
        <f t="shared" si="4"/>
        <v>31.091962336513792</v>
      </c>
      <c r="L26" t="str">
        <f t="shared" si="5"/>
        <v>No</v>
      </c>
      <c r="M26" t="str">
        <f t="shared" si="6"/>
        <v>No</v>
      </c>
      <c r="N26" t="str">
        <f t="shared" si="7"/>
        <v>no</v>
      </c>
    </row>
    <row r="27" spans="1:14" x14ac:dyDescent="0.35">
      <c r="A27" t="s">
        <v>182</v>
      </c>
      <c r="B27" t="s">
        <v>166</v>
      </c>
      <c r="C27">
        <v>42.2667</v>
      </c>
      <c r="D27">
        <v>-72.25</v>
      </c>
      <c r="E27" t="s">
        <v>364</v>
      </c>
      <c r="F27">
        <v>10142</v>
      </c>
      <c r="G27">
        <f t="shared" si="0"/>
        <v>2.7318356261382348E-2</v>
      </c>
      <c r="H27">
        <f t="shared" si="1"/>
        <v>0.44726408352607905</v>
      </c>
      <c r="I27">
        <f t="shared" si="2"/>
        <v>3.0323375450134407</v>
      </c>
      <c r="J27">
        <f t="shared" si="3"/>
        <v>36.899286890901521</v>
      </c>
      <c r="K27">
        <f t="shared" si="4"/>
        <v>37.023674102443628</v>
      </c>
      <c r="L27" t="str">
        <f t="shared" si="5"/>
        <v>No</v>
      </c>
      <c r="M27" t="str">
        <f t="shared" si="6"/>
        <v>No</v>
      </c>
      <c r="N27" t="str">
        <f t="shared" si="7"/>
        <v>no</v>
      </c>
    </row>
    <row r="28" spans="1:14" x14ac:dyDescent="0.35">
      <c r="A28" t="s">
        <v>158</v>
      </c>
      <c r="B28" t="s">
        <v>143</v>
      </c>
      <c r="C28">
        <v>42.0167</v>
      </c>
      <c r="D28">
        <v>-72.75</v>
      </c>
      <c r="E28" t="s">
        <v>364</v>
      </c>
      <c r="F28">
        <v>9277</v>
      </c>
      <c r="G28">
        <f t="shared" si="0"/>
        <v>-0.22268164373861765</v>
      </c>
      <c r="H28">
        <f t="shared" si="1"/>
        <v>-5.2735916473920952E-2</v>
      </c>
      <c r="I28">
        <f t="shared" si="2"/>
        <v>-24.717662454986559</v>
      </c>
      <c r="J28">
        <f t="shared" si="3"/>
        <v>-4.3507131090984785</v>
      </c>
      <c r="K28">
        <f t="shared" si="4"/>
        <v>25.097640163894564</v>
      </c>
      <c r="L28" t="str">
        <f t="shared" si="5"/>
        <v>No</v>
      </c>
      <c r="M28" t="str">
        <f t="shared" si="6"/>
        <v>No</v>
      </c>
      <c r="N28" t="str">
        <f t="shared" si="7"/>
        <v>no</v>
      </c>
    </row>
    <row r="29" spans="1:14" x14ac:dyDescent="0.35">
      <c r="A29" t="s">
        <v>50</v>
      </c>
      <c r="B29" t="s">
        <v>20</v>
      </c>
      <c r="C29">
        <v>42.714799999999997</v>
      </c>
      <c r="D29">
        <v>-73.203599999999994</v>
      </c>
      <c r="E29" t="s">
        <v>364</v>
      </c>
      <c r="F29">
        <v>9189</v>
      </c>
      <c r="G29">
        <f t="shared" si="0"/>
        <v>0.47541835626137896</v>
      </c>
      <c r="H29">
        <f t="shared" si="1"/>
        <v>-0.5063359164739154</v>
      </c>
      <c r="I29">
        <f t="shared" si="2"/>
        <v>52.771437545013065</v>
      </c>
      <c r="J29">
        <f t="shared" si="3"/>
        <v>-41.772713109098021</v>
      </c>
      <c r="K29">
        <f t="shared" si="4"/>
        <v>67.303671378775647</v>
      </c>
      <c r="L29" t="str">
        <f t="shared" si="5"/>
        <v>No</v>
      </c>
      <c r="M29" t="str">
        <f t="shared" si="6"/>
        <v>No</v>
      </c>
      <c r="N29" t="str">
        <f t="shared" si="7"/>
        <v>no</v>
      </c>
    </row>
    <row r="30" spans="1:14" x14ac:dyDescent="0.35">
      <c r="A30" t="s">
        <v>131</v>
      </c>
      <c r="B30" t="s">
        <v>116</v>
      </c>
      <c r="C30">
        <v>42.55</v>
      </c>
      <c r="D30">
        <v>-72.566699999999997</v>
      </c>
      <c r="E30" t="s">
        <v>364</v>
      </c>
      <c r="F30">
        <v>8437</v>
      </c>
      <c r="G30">
        <f t="shared" si="0"/>
        <v>0.31061835626137935</v>
      </c>
      <c r="H30">
        <f t="shared" si="1"/>
        <v>0.13056408352608173</v>
      </c>
      <c r="I30">
        <f t="shared" si="2"/>
        <v>34.478637545013108</v>
      </c>
      <c r="J30">
        <f t="shared" si="3"/>
        <v>10.771536890901743</v>
      </c>
      <c r="K30">
        <f t="shared" si="4"/>
        <v>36.122049415176384</v>
      </c>
      <c r="L30" t="str">
        <f t="shared" si="5"/>
        <v>No</v>
      </c>
      <c r="M30" t="str">
        <f t="shared" si="6"/>
        <v>No</v>
      </c>
      <c r="N30" t="str">
        <f t="shared" si="7"/>
        <v>no</v>
      </c>
    </row>
    <row r="31" spans="1:14" x14ac:dyDescent="0.35">
      <c r="A31" t="s">
        <v>154</v>
      </c>
      <c r="B31" t="s">
        <v>143</v>
      </c>
      <c r="C31">
        <v>42.083300000000001</v>
      </c>
      <c r="D31">
        <v>-72.316699999999997</v>
      </c>
      <c r="E31" t="s">
        <v>364</v>
      </c>
      <c r="F31">
        <v>8164</v>
      </c>
      <c r="G31">
        <f t="shared" si="0"/>
        <v>-0.15608164373861655</v>
      </c>
      <c r="H31">
        <f t="shared" si="1"/>
        <v>0.38056408352608173</v>
      </c>
      <c r="I31">
        <f t="shared" si="2"/>
        <v>-17.325062454986437</v>
      </c>
      <c r="J31">
        <f t="shared" si="3"/>
        <v>31.396536890901743</v>
      </c>
      <c r="K31">
        <f t="shared" si="4"/>
        <v>35.859452279851325</v>
      </c>
      <c r="L31" t="str">
        <f t="shared" si="5"/>
        <v>No</v>
      </c>
      <c r="M31" t="str">
        <f t="shared" si="6"/>
        <v>No</v>
      </c>
      <c r="N31" t="str">
        <f t="shared" si="7"/>
        <v>no</v>
      </c>
    </row>
    <row r="32" spans="1:14" x14ac:dyDescent="0.35">
      <c r="A32" t="s">
        <v>19</v>
      </c>
      <c r="B32" t="s">
        <v>20</v>
      </c>
      <c r="C32">
        <v>42.617800000000003</v>
      </c>
      <c r="D32">
        <v>-73.104799999999997</v>
      </c>
      <c r="E32" t="s">
        <v>364</v>
      </c>
      <c r="F32">
        <v>7992</v>
      </c>
      <c r="G32">
        <f t="shared" si="0"/>
        <v>0.37841835626138476</v>
      </c>
      <c r="H32">
        <f t="shared" si="1"/>
        <v>-0.40753591647391829</v>
      </c>
      <c r="I32">
        <f t="shared" si="2"/>
        <v>42.004437545013708</v>
      </c>
      <c r="J32">
        <f t="shared" si="3"/>
        <v>-33.621713109098259</v>
      </c>
      <c r="K32">
        <f t="shared" si="4"/>
        <v>53.803274676021971</v>
      </c>
      <c r="L32" t="str">
        <f t="shared" si="5"/>
        <v>No</v>
      </c>
      <c r="M32" t="str">
        <f t="shared" si="6"/>
        <v>No</v>
      </c>
      <c r="N32" t="str">
        <f t="shared" si="7"/>
        <v>no</v>
      </c>
    </row>
    <row r="33" spans="1:14" x14ac:dyDescent="0.35">
      <c r="A33" t="s">
        <v>134</v>
      </c>
      <c r="B33" t="s">
        <v>116</v>
      </c>
      <c r="C33">
        <v>42.45</v>
      </c>
      <c r="D33">
        <v>-72.316699999999997</v>
      </c>
      <c r="E33" t="s">
        <v>364</v>
      </c>
      <c r="F33">
        <v>7583</v>
      </c>
      <c r="G33">
        <f t="shared" si="0"/>
        <v>0.21061835626138503</v>
      </c>
      <c r="H33">
        <f t="shared" si="1"/>
        <v>0.38056408352608173</v>
      </c>
      <c r="I33">
        <f t="shared" si="2"/>
        <v>23.378637545013738</v>
      </c>
      <c r="J33">
        <f t="shared" si="3"/>
        <v>31.396536890901743</v>
      </c>
      <c r="K33">
        <f t="shared" si="4"/>
        <v>39.144644872611629</v>
      </c>
      <c r="L33" t="str">
        <f t="shared" si="5"/>
        <v>No</v>
      </c>
      <c r="M33" t="str">
        <f t="shared" si="6"/>
        <v>No</v>
      </c>
      <c r="N33" t="str">
        <f t="shared" si="7"/>
        <v>no</v>
      </c>
    </row>
    <row r="34" spans="1:14" x14ac:dyDescent="0.35">
      <c r="A34" t="s">
        <v>28</v>
      </c>
      <c r="B34" t="s">
        <v>20</v>
      </c>
      <c r="C34">
        <v>42.191200000000002</v>
      </c>
      <c r="D34">
        <v>-73.366100000000003</v>
      </c>
      <c r="E34" t="s">
        <v>364</v>
      </c>
      <c r="F34">
        <v>7245</v>
      </c>
      <c r="G34">
        <f t="shared" si="0"/>
        <v>-4.8181643738615776E-2</v>
      </c>
      <c r="H34">
        <f t="shared" si="1"/>
        <v>-0.66883591647392393</v>
      </c>
      <c r="I34">
        <f t="shared" si="2"/>
        <v>-5.3481624549863511</v>
      </c>
      <c r="J34">
        <f t="shared" si="3"/>
        <v>-55.178963109098724</v>
      </c>
      <c r="K34">
        <f t="shared" si="4"/>
        <v>55.437539731126272</v>
      </c>
      <c r="L34" t="str">
        <f t="shared" si="5"/>
        <v>No</v>
      </c>
      <c r="M34" t="str">
        <f t="shared" si="6"/>
        <v>No</v>
      </c>
      <c r="N34" t="str">
        <f t="shared" si="7"/>
        <v>no</v>
      </c>
    </row>
    <row r="35" spans="1:14" x14ac:dyDescent="0.35">
      <c r="A35" t="s">
        <v>25</v>
      </c>
      <c r="B35" t="s">
        <v>20</v>
      </c>
      <c r="C35">
        <v>42.466700000000003</v>
      </c>
      <c r="D35">
        <v>-73.25</v>
      </c>
      <c r="E35" t="s">
        <v>364</v>
      </c>
      <c r="F35">
        <v>6198</v>
      </c>
      <c r="G35">
        <f t="shared" si="0"/>
        <v>0.22731835626138519</v>
      </c>
      <c r="H35">
        <f t="shared" si="1"/>
        <v>-0.55273591647392095</v>
      </c>
      <c r="I35">
        <f t="shared" si="2"/>
        <v>25.232337545013756</v>
      </c>
      <c r="J35">
        <f t="shared" si="3"/>
        <v>-45.600713109098479</v>
      </c>
      <c r="K35">
        <f t="shared" si="4"/>
        <v>52.116176893972344</v>
      </c>
      <c r="L35" t="str">
        <f t="shared" si="5"/>
        <v>No</v>
      </c>
      <c r="M35" t="str">
        <f t="shared" si="6"/>
        <v>No</v>
      </c>
      <c r="N35" t="str">
        <f t="shared" si="7"/>
        <v>no</v>
      </c>
    </row>
    <row r="36" spans="1:14" x14ac:dyDescent="0.35">
      <c r="A36" t="s">
        <v>181</v>
      </c>
      <c r="B36" t="s">
        <v>166</v>
      </c>
      <c r="C36">
        <v>42.2</v>
      </c>
      <c r="D36">
        <v>-72.7333</v>
      </c>
      <c r="E36" t="s">
        <v>364</v>
      </c>
      <c r="F36">
        <v>6181</v>
      </c>
      <c r="G36">
        <f t="shared" si="0"/>
        <v>-3.9381643738614969E-2</v>
      </c>
      <c r="H36">
        <f t="shared" si="1"/>
        <v>-3.6035916473920793E-2</v>
      </c>
      <c r="I36">
        <f t="shared" si="2"/>
        <v>-4.3713624549862615</v>
      </c>
      <c r="J36">
        <f t="shared" si="3"/>
        <v>-2.9729631090984654</v>
      </c>
      <c r="K36">
        <f t="shared" si="4"/>
        <v>5.2865224260305492</v>
      </c>
      <c r="L36" t="str">
        <f t="shared" si="5"/>
        <v>Yes</v>
      </c>
      <c r="M36" t="str">
        <f t="shared" si="6"/>
        <v>No</v>
      </c>
      <c r="N36" t="str">
        <f t="shared" si="7"/>
        <v>Yes</v>
      </c>
    </row>
    <row r="37" spans="1:14" x14ac:dyDescent="0.35">
      <c r="A37" t="s">
        <v>172</v>
      </c>
      <c r="B37" t="s">
        <v>166</v>
      </c>
      <c r="C37">
        <v>42.25</v>
      </c>
      <c r="D37">
        <v>-72.5167</v>
      </c>
      <c r="E37" t="s">
        <v>364</v>
      </c>
      <c r="F37">
        <v>6064</v>
      </c>
      <c r="G37">
        <f t="shared" si="0"/>
        <v>1.0618356261382189E-2</v>
      </c>
      <c r="H37">
        <f t="shared" si="1"/>
        <v>0.18056408352607889</v>
      </c>
      <c r="I37">
        <f t="shared" si="2"/>
        <v>1.178637545013423</v>
      </c>
      <c r="J37">
        <f t="shared" si="3"/>
        <v>14.896536890901508</v>
      </c>
      <c r="K37">
        <f t="shared" si="4"/>
        <v>14.943091976043807</v>
      </c>
      <c r="L37" t="str">
        <f t="shared" si="5"/>
        <v>Yes</v>
      </c>
      <c r="M37" t="str">
        <f t="shared" si="6"/>
        <v>No</v>
      </c>
      <c r="N37" t="str">
        <f t="shared" si="7"/>
        <v>no</v>
      </c>
    </row>
    <row r="38" spans="1:14" x14ac:dyDescent="0.35">
      <c r="A38" t="s">
        <v>32</v>
      </c>
      <c r="B38" t="s">
        <v>20</v>
      </c>
      <c r="C38">
        <v>42.307600000000001</v>
      </c>
      <c r="D38">
        <v>-73.243099999999998</v>
      </c>
      <c r="E38" t="s">
        <v>364</v>
      </c>
      <c r="F38">
        <v>5682</v>
      </c>
      <c r="G38">
        <f t="shared" si="0"/>
        <v>6.8218356261382951E-2</v>
      </c>
      <c r="H38">
        <f t="shared" si="1"/>
        <v>-0.54583591647391927</v>
      </c>
      <c r="I38">
        <f t="shared" si="2"/>
        <v>7.5722375450135075</v>
      </c>
      <c r="J38">
        <f t="shared" si="3"/>
        <v>-45.03146310909834</v>
      </c>
      <c r="K38">
        <f t="shared" si="4"/>
        <v>45.663677591540925</v>
      </c>
      <c r="L38" t="str">
        <f t="shared" si="5"/>
        <v>No</v>
      </c>
      <c r="M38" t="str">
        <f t="shared" si="6"/>
        <v>No</v>
      </c>
      <c r="N38" t="str">
        <f t="shared" si="7"/>
        <v>no</v>
      </c>
    </row>
    <row r="39" spans="1:14" x14ac:dyDescent="0.35">
      <c r="A39" t="s">
        <v>173</v>
      </c>
      <c r="B39" t="s">
        <v>166</v>
      </c>
      <c r="C39">
        <v>42.333300000000001</v>
      </c>
      <c r="D39">
        <v>-72.533299999999997</v>
      </c>
      <c r="E39" t="s">
        <v>364</v>
      </c>
      <c r="F39">
        <v>5284</v>
      </c>
      <c r="G39">
        <f t="shared" si="0"/>
        <v>9.3918356261383451E-2</v>
      </c>
      <c r="H39">
        <f t="shared" si="1"/>
        <v>0.16396408352608205</v>
      </c>
      <c r="I39">
        <f t="shared" si="2"/>
        <v>10.424937545013563</v>
      </c>
      <c r="J39">
        <f t="shared" si="3"/>
        <v>13.527036890901769</v>
      </c>
      <c r="K39">
        <f t="shared" si="4"/>
        <v>17.078057555391094</v>
      </c>
      <c r="L39" t="str">
        <f t="shared" si="5"/>
        <v>No</v>
      </c>
      <c r="M39" t="str">
        <f t="shared" si="6"/>
        <v>No</v>
      </c>
      <c r="N39" t="str">
        <f t="shared" si="7"/>
        <v>no</v>
      </c>
    </row>
    <row r="40" spans="1:14" x14ac:dyDescent="0.35">
      <c r="A40" t="s">
        <v>122</v>
      </c>
      <c r="B40" t="s">
        <v>116</v>
      </c>
      <c r="C40">
        <v>42.583300000000001</v>
      </c>
      <c r="D40">
        <v>-72.616699999999994</v>
      </c>
      <c r="E40" t="s">
        <v>364</v>
      </c>
      <c r="F40">
        <v>5177</v>
      </c>
      <c r="G40">
        <f t="shared" ref="G40:G71" si="8">C40-$C$3</f>
        <v>0.34391835626138345</v>
      </c>
      <c r="H40">
        <f t="shared" ref="H40:H71" si="9">D40-$D$3</f>
        <v>8.0564083526084573E-2</v>
      </c>
      <c r="I40">
        <f t="shared" ref="I40:I71" si="10">111*G40</f>
        <v>38.174937545013563</v>
      </c>
      <c r="J40">
        <f t="shared" ref="J40:J71" si="11">82.5*H40</f>
        <v>6.6465368909019773</v>
      </c>
      <c r="K40">
        <f t="shared" ref="K40:K71" si="12">SQRT(I40^2+J40^2)</f>
        <v>38.749223336833566</v>
      </c>
      <c r="L40" t="str">
        <f t="shared" ref="L40:L71" si="13">IF(K40&lt;=15,"Yes","No")</f>
        <v>No</v>
      </c>
      <c r="M40" t="str">
        <f t="shared" si="6"/>
        <v>No</v>
      </c>
      <c r="N40" t="str">
        <f t="shared" si="7"/>
        <v>no</v>
      </c>
    </row>
    <row r="41" spans="1:14" x14ac:dyDescent="0.35">
      <c r="A41" t="s">
        <v>33</v>
      </c>
      <c r="B41" t="s">
        <v>20</v>
      </c>
      <c r="C41">
        <v>42.354799999999997</v>
      </c>
      <c r="D41">
        <v>-73.286699999999996</v>
      </c>
      <c r="E41" t="s">
        <v>364</v>
      </c>
      <c r="F41">
        <v>5072</v>
      </c>
      <c r="G41">
        <f t="shared" si="8"/>
        <v>0.11541835626137953</v>
      </c>
      <c r="H41">
        <f t="shared" si="9"/>
        <v>-0.58943591647391713</v>
      </c>
      <c r="I41">
        <f t="shared" si="10"/>
        <v>12.811437545013128</v>
      </c>
      <c r="J41">
        <f t="shared" si="11"/>
        <v>-48.628463109098163</v>
      </c>
      <c r="K41">
        <f t="shared" si="12"/>
        <v>50.287775416324521</v>
      </c>
      <c r="L41" t="str">
        <f t="shared" si="13"/>
        <v>No</v>
      </c>
      <c r="M41" t="str">
        <f t="shared" si="6"/>
        <v>No</v>
      </c>
      <c r="N41" t="str">
        <f t="shared" si="7"/>
        <v>no</v>
      </c>
    </row>
    <row r="42" spans="1:14" x14ac:dyDescent="0.35">
      <c r="A42" t="s">
        <v>143</v>
      </c>
      <c r="B42" t="s">
        <v>143</v>
      </c>
      <c r="C42">
        <v>42.05</v>
      </c>
      <c r="D42">
        <v>-72.349999999999994</v>
      </c>
      <c r="E42" t="s">
        <v>364</v>
      </c>
      <c r="F42">
        <v>4964</v>
      </c>
      <c r="G42">
        <f t="shared" si="8"/>
        <v>-0.18938164373862065</v>
      </c>
      <c r="H42">
        <f t="shared" si="9"/>
        <v>0.34726408352608473</v>
      </c>
      <c r="I42">
        <f t="shared" si="10"/>
        <v>-21.021362454986892</v>
      </c>
      <c r="J42">
        <f t="shared" si="11"/>
        <v>28.64928689090199</v>
      </c>
      <c r="K42">
        <f t="shared" si="12"/>
        <v>35.534199284930303</v>
      </c>
      <c r="L42" t="str">
        <f t="shared" si="13"/>
        <v>No</v>
      </c>
      <c r="M42" t="str">
        <f t="shared" si="6"/>
        <v>No</v>
      </c>
      <c r="N42" t="str">
        <f t="shared" si="7"/>
        <v>no</v>
      </c>
    </row>
    <row r="43" spans="1:14" x14ac:dyDescent="0.35">
      <c r="A43" t="s">
        <v>145</v>
      </c>
      <c r="B43" t="s">
        <v>143</v>
      </c>
      <c r="C43">
        <v>42.183300000000003</v>
      </c>
      <c r="D43">
        <v>-72.166700000000006</v>
      </c>
      <c r="E43" t="s">
        <v>364</v>
      </c>
      <c r="F43">
        <v>3733</v>
      </c>
      <c r="G43">
        <f t="shared" si="8"/>
        <v>-5.6081643738615128E-2</v>
      </c>
      <c r="H43">
        <f t="shared" si="9"/>
        <v>0.5305640835260732</v>
      </c>
      <c r="I43">
        <f t="shared" si="10"/>
        <v>-6.2250624549862792</v>
      </c>
      <c r="J43">
        <f t="shared" si="11"/>
        <v>43.771536890901039</v>
      </c>
      <c r="K43">
        <f t="shared" si="12"/>
        <v>44.211976254856445</v>
      </c>
      <c r="L43" t="str">
        <f t="shared" si="13"/>
        <v>No</v>
      </c>
      <c r="M43" t="str">
        <f t="shared" si="6"/>
        <v>No</v>
      </c>
      <c r="N43" t="str">
        <f t="shared" si="7"/>
        <v>no</v>
      </c>
    </row>
    <row r="44" spans="1:14" x14ac:dyDescent="0.35">
      <c r="A44" t="s">
        <v>138</v>
      </c>
      <c r="B44" t="s">
        <v>116</v>
      </c>
      <c r="C44">
        <v>42.45</v>
      </c>
      <c r="D44">
        <v>-72.5</v>
      </c>
      <c r="E44" t="s">
        <v>364</v>
      </c>
      <c r="F44">
        <v>3628</v>
      </c>
      <c r="G44">
        <f t="shared" si="8"/>
        <v>0.21061835626138503</v>
      </c>
      <c r="H44">
        <f t="shared" si="9"/>
        <v>0.19726408352607905</v>
      </c>
      <c r="I44">
        <f t="shared" si="10"/>
        <v>23.378637545013738</v>
      </c>
      <c r="J44">
        <f t="shared" si="11"/>
        <v>16.274286890901521</v>
      </c>
      <c r="K44">
        <f t="shared" si="12"/>
        <v>28.485313887484111</v>
      </c>
      <c r="L44" t="str">
        <f t="shared" si="13"/>
        <v>No</v>
      </c>
      <c r="M44" t="str">
        <f t="shared" si="6"/>
        <v>No</v>
      </c>
      <c r="N44" t="str">
        <f t="shared" si="7"/>
        <v>no</v>
      </c>
    </row>
    <row r="45" spans="1:14" x14ac:dyDescent="0.35">
      <c r="A45" t="s">
        <v>45</v>
      </c>
      <c r="B45" t="s">
        <v>20</v>
      </c>
      <c r="C45">
        <v>42.101500000000001</v>
      </c>
      <c r="D45">
        <v>-73.366699999999994</v>
      </c>
      <c r="E45" t="s">
        <v>364</v>
      </c>
      <c r="F45">
        <v>3324</v>
      </c>
      <c r="G45">
        <f t="shared" si="8"/>
        <v>-0.13788164373861633</v>
      </c>
      <c r="H45">
        <f t="shared" si="9"/>
        <v>-0.66943591647391543</v>
      </c>
      <c r="I45">
        <f t="shared" si="10"/>
        <v>-15.304862454986413</v>
      </c>
      <c r="J45">
        <f t="shared" si="11"/>
        <v>-55.228463109098023</v>
      </c>
      <c r="K45">
        <f t="shared" si="12"/>
        <v>57.309876567299064</v>
      </c>
      <c r="L45" t="str">
        <f t="shared" si="13"/>
        <v>No</v>
      </c>
      <c r="M45" t="str">
        <f t="shared" si="6"/>
        <v>No</v>
      </c>
      <c r="N45" t="str">
        <f t="shared" si="7"/>
        <v>no</v>
      </c>
    </row>
    <row r="46" spans="1:14" x14ac:dyDescent="0.35">
      <c r="A46" t="s">
        <v>174</v>
      </c>
      <c r="B46" t="s">
        <v>166</v>
      </c>
      <c r="C46">
        <v>42.383299999999998</v>
      </c>
      <c r="D46">
        <v>-72.55</v>
      </c>
      <c r="E46" t="s">
        <v>364</v>
      </c>
      <c r="F46">
        <v>3321</v>
      </c>
      <c r="G46">
        <f t="shared" si="8"/>
        <v>0.14391835626138061</v>
      </c>
      <c r="H46">
        <f t="shared" si="9"/>
        <v>0.14726408352608189</v>
      </c>
      <c r="I46">
        <f t="shared" si="10"/>
        <v>15.974937545013248</v>
      </c>
      <c r="J46">
        <f t="shared" si="11"/>
        <v>12.149286890901756</v>
      </c>
      <c r="K46">
        <f t="shared" si="12"/>
        <v>20.069972633875491</v>
      </c>
      <c r="L46" t="str">
        <f t="shared" si="13"/>
        <v>No</v>
      </c>
      <c r="M46" t="str">
        <f t="shared" si="6"/>
        <v>No</v>
      </c>
      <c r="N46" t="str">
        <f t="shared" si="7"/>
        <v>no</v>
      </c>
    </row>
    <row r="47" spans="1:14" x14ac:dyDescent="0.35">
      <c r="A47" t="s">
        <v>23</v>
      </c>
      <c r="B47" t="s">
        <v>20</v>
      </c>
      <c r="C47">
        <v>42.566699999999997</v>
      </c>
      <c r="D47">
        <v>-73.3</v>
      </c>
      <c r="E47" t="s">
        <v>364</v>
      </c>
      <c r="F47">
        <v>3190</v>
      </c>
      <c r="G47">
        <f t="shared" si="8"/>
        <v>0.32731835626137951</v>
      </c>
      <c r="H47">
        <f t="shared" si="9"/>
        <v>-0.60273591647391811</v>
      </c>
      <c r="I47">
        <f t="shared" si="10"/>
        <v>36.332337545013125</v>
      </c>
      <c r="J47">
        <f t="shared" si="11"/>
        <v>-49.725713109098244</v>
      </c>
      <c r="K47">
        <f t="shared" si="12"/>
        <v>61.584781364336393</v>
      </c>
      <c r="L47" t="str">
        <f t="shared" si="13"/>
        <v>No</v>
      </c>
      <c r="M47" t="str">
        <f t="shared" si="6"/>
        <v>No</v>
      </c>
      <c r="N47" t="str">
        <f t="shared" si="7"/>
        <v>no</v>
      </c>
    </row>
    <row r="48" spans="1:14" x14ac:dyDescent="0.35">
      <c r="A48" t="s">
        <v>31</v>
      </c>
      <c r="B48" t="s">
        <v>20</v>
      </c>
      <c r="C48">
        <v>42.566699999999997</v>
      </c>
      <c r="D48">
        <v>-73.2333</v>
      </c>
      <c r="E48" t="s">
        <v>364</v>
      </c>
      <c r="F48">
        <v>3004</v>
      </c>
      <c r="G48">
        <f t="shared" si="8"/>
        <v>0.32731835626137951</v>
      </c>
      <c r="H48">
        <f t="shared" si="9"/>
        <v>-0.53603591647392079</v>
      </c>
      <c r="I48">
        <f t="shared" si="10"/>
        <v>36.332337545013125</v>
      </c>
      <c r="J48">
        <f t="shared" si="11"/>
        <v>-44.222963109098465</v>
      </c>
      <c r="K48">
        <f t="shared" si="12"/>
        <v>57.233811839099566</v>
      </c>
      <c r="L48" t="str">
        <f t="shared" si="13"/>
        <v>No</v>
      </c>
      <c r="M48" t="str">
        <f t="shared" si="6"/>
        <v>No</v>
      </c>
      <c r="N48" t="str">
        <f t="shared" si="7"/>
        <v>no</v>
      </c>
    </row>
    <row r="49" spans="1:14" x14ac:dyDescent="0.35">
      <c r="A49" t="s">
        <v>133</v>
      </c>
      <c r="B49" t="s">
        <v>116</v>
      </c>
      <c r="C49">
        <v>42.683300000000003</v>
      </c>
      <c r="D49">
        <v>-72.433300000000003</v>
      </c>
      <c r="E49" t="s">
        <v>364</v>
      </c>
      <c r="F49">
        <v>2880</v>
      </c>
      <c r="G49">
        <f t="shared" si="8"/>
        <v>0.44391835626138487</v>
      </c>
      <c r="H49">
        <f t="shared" si="9"/>
        <v>0.26396408352607637</v>
      </c>
      <c r="I49">
        <f t="shared" si="10"/>
        <v>49.274937545013721</v>
      </c>
      <c r="J49">
        <f t="shared" si="11"/>
        <v>21.7770368909013</v>
      </c>
      <c r="K49">
        <f t="shared" si="12"/>
        <v>53.872616474538148</v>
      </c>
      <c r="L49" t="str">
        <f t="shared" si="13"/>
        <v>No</v>
      </c>
      <c r="M49" t="str">
        <f t="shared" si="6"/>
        <v>No</v>
      </c>
      <c r="N49" t="str">
        <f t="shared" si="7"/>
        <v>no</v>
      </c>
    </row>
    <row r="50" spans="1:14" x14ac:dyDescent="0.35">
      <c r="A50" t="s">
        <v>150</v>
      </c>
      <c r="B50" t="s">
        <v>143</v>
      </c>
      <c r="C50">
        <v>42.083300000000001</v>
      </c>
      <c r="D50">
        <v>-72.2333</v>
      </c>
      <c r="E50" t="s">
        <v>364</v>
      </c>
      <c r="F50">
        <v>2581</v>
      </c>
      <c r="G50">
        <f t="shared" si="8"/>
        <v>-0.15608164373861655</v>
      </c>
      <c r="H50">
        <f t="shared" si="9"/>
        <v>0.46396408352607921</v>
      </c>
      <c r="I50">
        <f t="shared" si="10"/>
        <v>-17.325062454986437</v>
      </c>
      <c r="J50">
        <f t="shared" si="11"/>
        <v>38.277036890901535</v>
      </c>
      <c r="K50">
        <f t="shared" si="12"/>
        <v>42.015346508348799</v>
      </c>
      <c r="L50" t="str">
        <f t="shared" si="13"/>
        <v>No</v>
      </c>
      <c r="M50" t="str">
        <f t="shared" si="6"/>
        <v>No</v>
      </c>
      <c r="N50" t="str">
        <f t="shared" si="7"/>
        <v>no</v>
      </c>
    </row>
    <row r="51" spans="1:14" x14ac:dyDescent="0.35">
      <c r="A51" t="s">
        <v>184</v>
      </c>
      <c r="B51" t="s">
        <v>166</v>
      </c>
      <c r="C51">
        <v>42.4</v>
      </c>
      <c r="D51">
        <v>-72.716700000000003</v>
      </c>
      <c r="E51" t="s">
        <v>364</v>
      </c>
      <c r="F51">
        <v>2475</v>
      </c>
      <c r="G51">
        <f t="shared" si="8"/>
        <v>0.16061835626138077</v>
      </c>
      <c r="H51">
        <f t="shared" si="9"/>
        <v>-1.9435916473923953E-2</v>
      </c>
      <c r="I51">
        <f t="shared" si="10"/>
        <v>17.828637545013265</v>
      </c>
      <c r="J51">
        <f t="shared" si="11"/>
        <v>-1.6034631090987261</v>
      </c>
      <c r="K51">
        <f t="shared" si="12"/>
        <v>17.900598052961726</v>
      </c>
      <c r="L51" t="str">
        <f t="shared" si="13"/>
        <v>No</v>
      </c>
      <c r="M51" t="str">
        <f t="shared" si="6"/>
        <v>No</v>
      </c>
      <c r="N51" t="str">
        <f t="shared" si="7"/>
        <v>no</v>
      </c>
    </row>
    <row r="52" spans="1:14" x14ac:dyDescent="0.35">
      <c r="A52" t="s">
        <v>117</v>
      </c>
      <c r="B52" t="s">
        <v>116</v>
      </c>
      <c r="C52">
        <v>42.65</v>
      </c>
      <c r="D52">
        <v>-72.583299999999994</v>
      </c>
      <c r="E52" t="s">
        <v>364</v>
      </c>
      <c r="F52">
        <v>2109</v>
      </c>
      <c r="G52">
        <f t="shared" si="8"/>
        <v>0.41061835626138077</v>
      </c>
      <c r="H52">
        <f t="shared" si="9"/>
        <v>0.11396408352608489</v>
      </c>
      <c r="I52">
        <f t="shared" si="10"/>
        <v>45.578637545013265</v>
      </c>
      <c r="J52">
        <f t="shared" si="11"/>
        <v>9.4020368909020036</v>
      </c>
      <c r="K52">
        <f t="shared" si="12"/>
        <v>46.538269178790642</v>
      </c>
      <c r="L52" t="str">
        <f t="shared" si="13"/>
        <v>No</v>
      </c>
      <c r="M52" t="str">
        <f t="shared" si="6"/>
        <v>No</v>
      </c>
      <c r="N52" t="str">
        <f t="shared" si="7"/>
        <v>no</v>
      </c>
    </row>
    <row r="53" spans="1:14" x14ac:dyDescent="0.35">
      <c r="A53" t="s">
        <v>175</v>
      </c>
      <c r="B53" t="s">
        <v>166</v>
      </c>
      <c r="C53">
        <v>42.2667</v>
      </c>
      <c r="D53">
        <v>-72.933300000000003</v>
      </c>
      <c r="E53" t="s">
        <v>364</v>
      </c>
      <c r="F53">
        <v>2071</v>
      </c>
      <c r="G53">
        <f t="shared" si="8"/>
        <v>2.7318356261382348E-2</v>
      </c>
      <c r="H53">
        <f t="shared" si="9"/>
        <v>-0.23603591647392363</v>
      </c>
      <c r="I53">
        <f t="shared" si="10"/>
        <v>3.0323375450134407</v>
      </c>
      <c r="J53">
        <f t="shared" si="11"/>
        <v>-19.4729631090987</v>
      </c>
      <c r="K53">
        <f t="shared" si="12"/>
        <v>19.70764732877106</v>
      </c>
      <c r="L53" t="str">
        <f t="shared" si="13"/>
        <v>No</v>
      </c>
      <c r="M53" t="str">
        <f t="shared" si="6"/>
        <v>No</v>
      </c>
      <c r="N53" t="str">
        <f t="shared" si="7"/>
        <v>no</v>
      </c>
    </row>
    <row r="54" spans="1:14" x14ac:dyDescent="0.35">
      <c r="A54" t="s">
        <v>46</v>
      </c>
      <c r="B54" t="s">
        <v>20</v>
      </c>
      <c r="C54">
        <v>42.311900000000001</v>
      </c>
      <c r="D54">
        <v>-73.326700000000002</v>
      </c>
      <c r="E54" t="s">
        <v>364</v>
      </c>
      <c r="F54">
        <v>1986</v>
      </c>
      <c r="G54">
        <f t="shared" si="8"/>
        <v>7.2518356261383587E-2</v>
      </c>
      <c r="H54">
        <f t="shared" si="9"/>
        <v>-0.62943591647392338</v>
      </c>
      <c r="I54">
        <f t="shared" si="10"/>
        <v>8.0495375450135782</v>
      </c>
      <c r="J54">
        <f t="shared" si="11"/>
        <v>-51.928463109098679</v>
      </c>
      <c r="K54">
        <f t="shared" si="12"/>
        <v>52.548647323804687</v>
      </c>
      <c r="L54" t="str">
        <f t="shared" si="13"/>
        <v>No</v>
      </c>
      <c r="M54" t="str">
        <f t="shared" si="6"/>
        <v>No</v>
      </c>
      <c r="N54" t="str">
        <f t="shared" si="7"/>
        <v>no</v>
      </c>
    </row>
    <row r="55" spans="1:14" x14ac:dyDescent="0.35">
      <c r="A55" t="s">
        <v>22</v>
      </c>
      <c r="B55" t="s">
        <v>20</v>
      </c>
      <c r="C55">
        <v>42.366700000000002</v>
      </c>
      <c r="D55">
        <v>-73.333299999999994</v>
      </c>
      <c r="E55" t="s">
        <v>364</v>
      </c>
      <c r="F55">
        <v>1922</v>
      </c>
      <c r="G55">
        <f t="shared" si="8"/>
        <v>0.12731835626138377</v>
      </c>
      <c r="H55">
        <f t="shared" si="9"/>
        <v>-0.63603591647391511</v>
      </c>
      <c r="I55">
        <f t="shared" si="10"/>
        <v>14.132337545013598</v>
      </c>
      <c r="J55">
        <f t="shared" si="11"/>
        <v>-52.472963109097996</v>
      </c>
      <c r="K55">
        <f t="shared" si="12"/>
        <v>54.342753168522485</v>
      </c>
      <c r="L55" t="str">
        <f t="shared" si="13"/>
        <v>No</v>
      </c>
      <c r="M55" t="str">
        <f t="shared" si="6"/>
        <v>No</v>
      </c>
      <c r="N55" t="str">
        <f t="shared" si="7"/>
        <v>no</v>
      </c>
    </row>
    <row r="56" spans="1:14" x14ac:dyDescent="0.35">
      <c r="A56" t="s">
        <v>30</v>
      </c>
      <c r="B56" t="s">
        <v>20</v>
      </c>
      <c r="C56">
        <v>42.45</v>
      </c>
      <c r="D56">
        <v>-73.183300000000003</v>
      </c>
      <c r="E56" t="s">
        <v>364</v>
      </c>
      <c r="F56">
        <v>1890</v>
      </c>
      <c r="G56">
        <f t="shared" si="8"/>
        <v>0.21061835626138503</v>
      </c>
      <c r="H56">
        <f t="shared" si="9"/>
        <v>-0.48603591647392363</v>
      </c>
      <c r="I56">
        <f t="shared" si="10"/>
        <v>23.378637545013738</v>
      </c>
      <c r="J56">
        <f t="shared" si="11"/>
        <v>-40.0979631090987</v>
      </c>
      <c r="K56">
        <f t="shared" si="12"/>
        <v>46.415593704699781</v>
      </c>
      <c r="L56" t="str">
        <f t="shared" si="13"/>
        <v>No</v>
      </c>
      <c r="M56" t="str">
        <f t="shared" si="6"/>
        <v>No</v>
      </c>
      <c r="N56" t="str">
        <f t="shared" si="7"/>
        <v>no</v>
      </c>
    </row>
    <row r="57" spans="1:14" x14ac:dyDescent="0.35">
      <c r="A57" t="s">
        <v>136</v>
      </c>
      <c r="B57" t="s">
        <v>116</v>
      </c>
      <c r="C57">
        <v>42.583300000000001</v>
      </c>
      <c r="D57">
        <v>-72.7</v>
      </c>
      <c r="E57" t="s">
        <v>364</v>
      </c>
      <c r="F57">
        <v>1874</v>
      </c>
      <c r="G57">
        <f t="shared" si="8"/>
        <v>0.34391835626138345</v>
      </c>
      <c r="H57">
        <f t="shared" si="9"/>
        <v>-2.735916473923794E-3</v>
      </c>
      <c r="I57">
        <f t="shared" si="10"/>
        <v>38.174937545013563</v>
      </c>
      <c r="J57">
        <f t="shared" si="11"/>
        <v>-0.22571310909871301</v>
      </c>
      <c r="K57">
        <f t="shared" si="12"/>
        <v>38.175604814767574</v>
      </c>
      <c r="L57" t="str">
        <f t="shared" si="13"/>
        <v>No</v>
      </c>
      <c r="M57" t="str">
        <f t="shared" si="6"/>
        <v>No</v>
      </c>
      <c r="N57" t="str">
        <f t="shared" si="7"/>
        <v>no</v>
      </c>
    </row>
    <row r="58" spans="1:14" x14ac:dyDescent="0.35">
      <c r="A58" t="s">
        <v>128</v>
      </c>
      <c r="B58" t="s">
        <v>116</v>
      </c>
      <c r="C58">
        <v>42.45</v>
      </c>
      <c r="D58">
        <v>-72.683300000000003</v>
      </c>
      <c r="E58" t="s">
        <v>364</v>
      </c>
      <c r="F58">
        <v>1863</v>
      </c>
      <c r="G58">
        <f t="shared" si="8"/>
        <v>0.21061835626138503</v>
      </c>
      <c r="H58">
        <f t="shared" si="9"/>
        <v>1.3964083526076365E-2</v>
      </c>
      <c r="I58">
        <f t="shared" si="10"/>
        <v>23.378637545013738</v>
      </c>
      <c r="J58">
        <f t="shared" si="11"/>
        <v>1.1520368909013001</v>
      </c>
      <c r="K58">
        <f t="shared" si="12"/>
        <v>23.407004986950454</v>
      </c>
      <c r="L58" t="str">
        <f t="shared" si="13"/>
        <v>No</v>
      </c>
      <c r="M58" t="str">
        <f t="shared" si="6"/>
        <v>No</v>
      </c>
      <c r="N58" t="str">
        <f t="shared" si="7"/>
        <v>no</v>
      </c>
    </row>
    <row r="59" spans="1:14" x14ac:dyDescent="0.35">
      <c r="A59" t="s">
        <v>161</v>
      </c>
      <c r="B59" t="s">
        <v>143</v>
      </c>
      <c r="C59">
        <v>42.15</v>
      </c>
      <c r="D59">
        <v>-72.05</v>
      </c>
      <c r="E59" t="s">
        <v>364</v>
      </c>
      <c r="F59">
        <v>1828</v>
      </c>
      <c r="G59">
        <f t="shared" si="8"/>
        <v>-8.9381643738619232E-2</v>
      </c>
      <c r="H59">
        <f t="shared" si="9"/>
        <v>0.64726408352608189</v>
      </c>
      <c r="I59">
        <f t="shared" si="10"/>
        <v>-9.9213624549867347</v>
      </c>
      <c r="J59">
        <f t="shared" si="11"/>
        <v>53.399286890901756</v>
      </c>
      <c r="K59">
        <f t="shared" si="12"/>
        <v>54.313140890764664</v>
      </c>
      <c r="L59" t="str">
        <f t="shared" si="13"/>
        <v>No</v>
      </c>
      <c r="M59" t="str">
        <f t="shared" si="6"/>
        <v>No</v>
      </c>
      <c r="N59" t="str">
        <f t="shared" si="7"/>
        <v>no</v>
      </c>
    </row>
    <row r="60" spans="1:14" x14ac:dyDescent="0.35">
      <c r="A60" t="s">
        <v>118</v>
      </c>
      <c r="B60" t="s">
        <v>116</v>
      </c>
      <c r="C60">
        <v>42.6</v>
      </c>
      <c r="D60">
        <v>-72.7</v>
      </c>
      <c r="E60" t="s">
        <v>364</v>
      </c>
      <c r="F60">
        <v>1818</v>
      </c>
      <c r="G60">
        <f t="shared" si="8"/>
        <v>0.36061835626138361</v>
      </c>
      <c r="H60">
        <f t="shared" si="9"/>
        <v>-2.735916473923794E-3</v>
      </c>
      <c r="I60">
        <f t="shared" si="10"/>
        <v>40.028637545013581</v>
      </c>
      <c r="J60">
        <f t="shared" si="11"/>
        <v>-0.22571310909871301</v>
      </c>
      <c r="K60">
        <f t="shared" si="12"/>
        <v>40.029273914445291</v>
      </c>
      <c r="L60" t="str">
        <f t="shared" si="13"/>
        <v>No</v>
      </c>
      <c r="M60" t="str">
        <f t="shared" si="6"/>
        <v>No</v>
      </c>
      <c r="N60" t="str">
        <f t="shared" si="7"/>
        <v>no</v>
      </c>
    </row>
    <row r="61" spans="1:14" x14ac:dyDescent="0.35">
      <c r="A61" t="s">
        <v>121</v>
      </c>
      <c r="B61" t="s">
        <v>116</v>
      </c>
      <c r="C61">
        <v>42.533299999999997</v>
      </c>
      <c r="D61">
        <v>-72.849999999999994</v>
      </c>
      <c r="E61" t="s">
        <v>364</v>
      </c>
      <c r="F61">
        <v>1754</v>
      </c>
      <c r="G61">
        <f t="shared" si="8"/>
        <v>0.29391835626137919</v>
      </c>
      <c r="H61">
        <f t="shared" si="9"/>
        <v>-0.15273591647391527</v>
      </c>
      <c r="I61">
        <f t="shared" si="10"/>
        <v>32.62493754501309</v>
      </c>
      <c r="J61">
        <f t="shared" si="11"/>
        <v>-12.60071310909801</v>
      </c>
      <c r="K61">
        <f t="shared" si="12"/>
        <v>34.973769037291348</v>
      </c>
      <c r="L61" t="str">
        <f t="shared" si="13"/>
        <v>No</v>
      </c>
      <c r="M61" t="str">
        <f t="shared" si="6"/>
        <v>No</v>
      </c>
      <c r="N61" t="str">
        <f t="shared" si="7"/>
        <v>no</v>
      </c>
    </row>
    <row r="62" spans="1:14" x14ac:dyDescent="0.35">
      <c r="A62" t="s">
        <v>137</v>
      </c>
      <c r="B62" t="s">
        <v>116</v>
      </c>
      <c r="C62">
        <v>42.383299999999998</v>
      </c>
      <c r="D62">
        <v>-72.333299999999994</v>
      </c>
      <c r="E62" t="s">
        <v>364</v>
      </c>
      <c r="F62">
        <v>1717</v>
      </c>
      <c r="G62">
        <f t="shared" si="8"/>
        <v>0.14391835626138061</v>
      </c>
      <c r="H62">
        <f t="shared" si="9"/>
        <v>0.36396408352608489</v>
      </c>
      <c r="I62">
        <f t="shared" si="10"/>
        <v>15.974937545013248</v>
      </c>
      <c r="J62">
        <f t="shared" si="11"/>
        <v>30.027036890902004</v>
      </c>
      <c r="K62">
        <f t="shared" si="12"/>
        <v>34.012079824889618</v>
      </c>
      <c r="L62" t="str">
        <f t="shared" si="13"/>
        <v>No</v>
      </c>
      <c r="M62" t="str">
        <f t="shared" si="6"/>
        <v>No</v>
      </c>
      <c r="N62" t="str">
        <f t="shared" si="7"/>
        <v>no</v>
      </c>
    </row>
    <row r="63" spans="1:14" x14ac:dyDescent="0.35">
      <c r="A63" t="s">
        <v>115</v>
      </c>
      <c r="B63" t="s">
        <v>116</v>
      </c>
      <c r="C63">
        <v>42.566699999999997</v>
      </c>
      <c r="D63">
        <v>-72.849999999999994</v>
      </c>
      <c r="E63" t="s">
        <v>364</v>
      </c>
      <c r="F63">
        <v>1685</v>
      </c>
      <c r="G63">
        <f t="shared" si="8"/>
        <v>0.32731835626137951</v>
      </c>
      <c r="H63">
        <f t="shared" si="9"/>
        <v>-0.15273591647391527</v>
      </c>
      <c r="I63">
        <f t="shared" si="10"/>
        <v>36.332337545013125</v>
      </c>
      <c r="J63">
        <f t="shared" si="11"/>
        <v>-12.60071310909801</v>
      </c>
      <c r="K63">
        <f t="shared" si="12"/>
        <v>38.455386129157056</v>
      </c>
      <c r="L63" t="str">
        <f t="shared" si="13"/>
        <v>No</v>
      </c>
      <c r="M63" t="str">
        <f t="shared" si="6"/>
        <v>No</v>
      </c>
      <c r="N63" t="str">
        <f t="shared" si="7"/>
        <v>no</v>
      </c>
    </row>
    <row r="64" spans="1:14" x14ac:dyDescent="0.35">
      <c r="A64" t="s">
        <v>123</v>
      </c>
      <c r="B64" t="s">
        <v>116</v>
      </c>
      <c r="C64">
        <v>42.616700000000002</v>
      </c>
      <c r="D64">
        <v>-72.4833</v>
      </c>
      <c r="E64" t="s">
        <v>364</v>
      </c>
      <c r="F64">
        <v>1661</v>
      </c>
      <c r="G64">
        <f t="shared" si="8"/>
        <v>0.37731835626138377</v>
      </c>
      <c r="H64">
        <f t="shared" si="9"/>
        <v>0.21396408352607921</v>
      </c>
      <c r="I64">
        <f t="shared" si="10"/>
        <v>41.882337545013598</v>
      </c>
      <c r="J64">
        <f t="shared" si="11"/>
        <v>17.652036890901535</v>
      </c>
      <c r="K64">
        <f t="shared" si="12"/>
        <v>45.450243174621235</v>
      </c>
      <c r="L64" t="str">
        <f t="shared" si="13"/>
        <v>No</v>
      </c>
      <c r="M64" t="str">
        <f t="shared" si="6"/>
        <v>No</v>
      </c>
      <c r="N64" t="str">
        <f t="shared" si="7"/>
        <v>no</v>
      </c>
    </row>
    <row r="65" spans="1:14" x14ac:dyDescent="0.35">
      <c r="A65" t="s">
        <v>120</v>
      </c>
      <c r="B65" t="s">
        <v>116</v>
      </c>
      <c r="C65">
        <v>42.7</v>
      </c>
      <c r="D65">
        <v>-72.716700000000003</v>
      </c>
      <c r="E65" t="s">
        <v>364</v>
      </c>
      <c r="F65">
        <v>1643</v>
      </c>
      <c r="G65">
        <f t="shared" si="8"/>
        <v>0.46061835626138503</v>
      </c>
      <c r="H65">
        <f t="shared" si="9"/>
        <v>-1.9435916473923953E-2</v>
      </c>
      <c r="I65">
        <f t="shared" si="10"/>
        <v>51.128637545013738</v>
      </c>
      <c r="J65">
        <f t="shared" si="11"/>
        <v>-1.6034631090987261</v>
      </c>
      <c r="K65">
        <f t="shared" si="12"/>
        <v>51.153774749783899</v>
      </c>
      <c r="L65" t="str">
        <f t="shared" si="13"/>
        <v>No</v>
      </c>
      <c r="M65" t="str">
        <f t="shared" si="6"/>
        <v>No</v>
      </c>
      <c r="N65" t="str">
        <f t="shared" si="7"/>
        <v>no</v>
      </c>
    </row>
    <row r="66" spans="1:14" x14ac:dyDescent="0.35">
      <c r="A66" t="s">
        <v>157</v>
      </c>
      <c r="B66" t="s">
        <v>143</v>
      </c>
      <c r="C66">
        <v>42.183300000000003</v>
      </c>
      <c r="D66">
        <v>-73.0167</v>
      </c>
      <c r="E66" t="s">
        <v>364</v>
      </c>
      <c r="F66">
        <v>1640</v>
      </c>
      <c r="G66">
        <f t="shared" si="8"/>
        <v>-5.6081643738615128E-2</v>
      </c>
      <c r="H66">
        <f t="shared" si="9"/>
        <v>-0.31943591647392111</v>
      </c>
      <c r="I66">
        <f t="shared" si="10"/>
        <v>-6.2250624549862792</v>
      </c>
      <c r="J66">
        <f t="shared" si="11"/>
        <v>-26.353463109098492</v>
      </c>
      <c r="K66">
        <f t="shared" si="12"/>
        <v>27.078707879274724</v>
      </c>
      <c r="L66" t="str">
        <f t="shared" si="13"/>
        <v>No</v>
      </c>
      <c r="M66" t="str">
        <f t="shared" si="6"/>
        <v>No</v>
      </c>
      <c r="N66" t="str">
        <f t="shared" si="7"/>
        <v>no</v>
      </c>
    </row>
    <row r="67" spans="1:14" x14ac:dyDescent="0.35">
      <c r="A67" t="s">
        <v>24</v>
      </c>
      <c r="B67" t="s">
        <v>20</v>
      </c>
      <c r="C67">
        <v>42.683300000000003</v>
      </c>
      <c r="D67">
        <v>-73.2333</v>
      </c>
      <c r="E67" t="s">
        <v>364</v>
      </c>
      <c r="F67">
        <v>1637</v>
      </c>
      <c r="G67">
        <f t="shared" si="8"/>
        <v>0.44391835626138487</v>
      </c>
      <c r="H67">
        <f t="shared" si="9"/>
        <v>-0.53603591647392079</v>
      </c>
      <c r="I67">
        <f t="shared" si="10"/>
        <v>49.274937545013721</v>
      </c>
      <c r="J67">
        <f t="shared" si="11"/>
        <v>-44.222963109098465</v>
      </c>
      <c r="K67">
        <f t="shared" si="12"/>
        <v>66.209439932789692</v>
      </c>
      <c r="L67" t="str">
        <f t="shared" si="13"/>
        <v>No</v>
      </c>
      <c r="M67" t="str">
        <f t="shared" si="6"/>
        <v>No</v>
      </c>
      <c r="N67" t="str">
        <f t="shared" si="7"/>
        <v>no</v>
      </c>
    </row>
    <row r="68" spans="1:14" x14ac:dyDescent="0.35">
      <c r="A68" t="s">
        <v>183</v>
      </c>
      <c r="B68" t="s">
        <v>166</v>
      </c>
      <c r="C68">
        <v>42.283299999999997</v>
      </c>
      <c r="D68">
        <v>-72.75</v>
      </c>
      <c r="E68" t="s">
        <v>364</v>
      </c>
      <c r="F68">
        <v>1629</v>
      </c>
      <c r="G68">
        <f t="shared" si="8"/>
        <v>4.3918356261379188E-2</v>
      </c>
      <c r="H68">
        <f t="shared" si="9"/>
        <v>-5.2735916473920952E-2</v>
      </c>
      <c r="I68">
        <f t="shared" si="10"/>
        <v>4.8749375450130898</v>
      </c>
      <c r="J68">
        <f t="shared" si="11"/>
        <v>-4.3507131090984785</v>
      </c>
      <c r="K68">
        <f t="shared" si="12"/>
        <v>6.5340432065804102</v>
      </c>
      <c r="L68" t="str">
        <f t="shared" si="13"/>
        <v>Yes</v>
      </c>
      <c r="M68" t="str">
        <f t="shared" si="6"/>
        <v>No</v>
      </c>
      <c r="N68" t="str">
        <f t="shared" si="7"/>
        <v>Yes</v>
      </c>
    </row>
    <row r="69" spans="1:14" x14ac:dyDescent="0.35">
      <c r="A69" t="s">
        <v>141</v>
      </c>
      <c r="B69" t="s">
        <v>116</v>
      </c>
      <c r="C69">
        <v>42.5</v>
      </c>
      <c r="D69">
        <v>-72.533299999999997</v>
      </c>
      <c r="E69" t="s">
        <v>364</v>
      </c>
      <c r="F69">
        <v>1626</v>
      </c>
      <c r="G69">
        <f t="shared" si="8"/>
        <v>0.26061835626138219</v>
      </c>
      <c r="H69">
        <f t="shared" si="9"/>
        <v>0.16396408352608205</v>
      </c>
      <c r="I69">
        <f t="shared" si="10"/>
        <v>28.928637545013423</v>
      </c>
      <c r="J69">
        <f t="shared" si="11"/>
        <v>13.527036890901769</v>
      </c>
      <c r="K69">
        <f t="shared" si="12"/>
        <v>31.935040273320112</v>
      </c>
      <c r="L69" t="str">
        <f t="shared" si="13"/>
        <v>No</v>
      </c>
      <c r="M69" t="str">
        <f t="shared" si="6"/>
        <v>No</v>
      </c>
      <c r="N69" t="str">
        <f t="shared" si="7"/>
        <v>no</v>
      </c>
    </row>
    <row r="70" spans="1:14" x14ac:dyDescent="0.35">
      <c r="A70" t="s">
        <v>39</v>
      </c>
      <c r="B70" t="s">
        <v>20</v>
      </c>
      <c r="C70">
        <v>42.2333</v>
      </c>
      <c r="D70">
        <v>-73.216700000000003</v>
      </c>
      <c r="E70" t="s">
        <v>364</v>
      </c>
      <c r="F70">
        <v>1619</v>
      </c>
      <c r="G70">
        <f t="shared" si="8"/>
        <v>-6.08164373861797E-3</v>
      </c>
      <c r="H70">
        <f t="shared" si="9"/>
        <v>-0.51943591647392395</v>
      </c>
      <c r="I70">
        <f t="shared" si="10"/>
        <v>-0.67506245498659467</v>
      </c>
      <c r="J70">
        <f t="shared" si="11"/>
        <v>-42.853463109098726</v>
      </c>
      <c r="K70">
        <f t="shared" si="12"/>
        <v>42.858779844519816</v>
      </c>
      <c r="L70" t="str">
        <f t="shared" si="13"/>
        <v>No</v>
      </c>
      <c r="M70" t="str">
        <f t="shared" si="6"/>
        <v>No</v>
      </c>
      <c r="N70" t="str">
        <f t="shared" si="7"/>
        <v>no</v>
      </c>
    </row>
    <row r="71" spans="1:14" x14ac:dyDescent="0.35">
      <c r="A71" t="s">
        <v>124</v>
      </c>
      <c r="B71" t="s">
        <v>116</v>
      </c>
      <c r="C71">
        <v>42.633299999999998</v>
      </c>
      <c r="D71">
        <v>-72.5</v>
      </c>
      <c r="E71" t="s">
        <v>364</v>
      </c>
      <c r="F71">
        <v>1553</v>
      </c>
      <c r="G71">
        <f t="shared" si="8"/>
        <v>0.39391835626138061</v>
      </c>
      <c r="H71">
        <f t="shared" si="9"/>
        <v>0.19726408352607905</v>
      </c>
      <c r="I71">
        <f t="shared" si="10"/>
        <v>43.724937545013248</v>
      </c>
      <c r="J71">
        <f t="shared" si="11"/>
        <v>16.274286890901521</v>
      </c>
      <c r="K71">
        <f t="shared" si="12"/>
        <v>46.655359575537283</v>
      </c>
      <c r="L71" t="str">
        <f t="shared" si="13"/>
        <v>No</v>
      </c>
      <c r="M71" t="str">
        <f t="shared" si="6"/>
        <v>No</v>
      </c>
      <c r="N71" t="str">
        <f t="shared" si="7"/>
        <v>no</v>
      </c>
    </row>
    <row r="72" spans="1:14" x14ac:dyDescent="0.35">
      <c r="A72" t="s">
        <v>149</v>
      </c>
      <c r="B72" t="s">
        <v>143</v>
      </c>
      <c r="C72">
        <v>42.133299999999998</v>
      </c>
      <c r="D72">
        <v>-73.2</v>
      </c>
      <c r="E72" t="s">
        <v>364</v>
      </c>
      <c r="F72">
        <v>1540</v>
      </c>
      <c r="G72">
        <f t="shared" ref="G72:G108" si="14">C72-$C$3</f>
        <v>-0.10608164373861939</v>
      </c>
      <c r="H72">
        <f t="shared" ref="H72:H108" si="15">D72-$D$3</f>
        <v>-0.50273591647392379</v>
      </c>
      <c r="I72">
        <f t="shared" ref="I72:I108" si="16">111*G72</f>
        <v>-11.775062454986752</v>
      </c>
      <c r="J72">
        <f t="shared" ref="J72:J108" si="17">82.5*H72</f>
        <v>-41.475713109098713</v>
      </c>
      <c r="K72">
        <f t="shared" ref="K72:K103" si="18">SQRT(I72^2+J72^2)</f>
        <v>43.114810375636601</v>
      </c>
      <c r="L72" t="str">
        <f t="shared" ref="L72:L103" si="19">IF(K72&lt;=15,"Yes","No")</f>
        <v>No</v>
      </c>
      <c r="M72" t="str">
        <f t="shared" si="6"/>
        <v>No</v>
      </c>
      <c r="N72" t="str">
        <f t="shared" si="7"/>
        <v>no</v>
      </c>
    </row>
    <row r="73" spans="1:14" x14ac:dyDescent="0.35">
      <c r="A73" t="s">
        <v>37</v>
      </c>
      <c r="B73" t="s">
        <v>20</v>
      </c>
      <c r="C73">
        <v>42.2333</v>
      </c>
      <c r="D73">
        <v>-73.466700000000003</v>
      </c>
      <c r="E73" t="s">
        <v>364</v>
      </c>
      <c r="F73">
        <v>1503</v>
      </c>
      <c r="G73">
        <f t="shared" si="14"/>
        <v>-6.08164373861797E-3</v>
      </c>
      <c r="H73">
        <f t="shared" si="15"/>
        <v>-0.76943591647392395</v>
      </c>
      <c r="I73">
        <f t="shared" si="16"/>
        <v>-0.67506245498659467</v>
      </c>
      <c r="J73">
        <f t="shared" si="17"/>
        <v>-63.478463109098726</v>
      </c>
      <c r="K73">
        <f t="shared" si="18"/>
        <v>63.482052487386859</v>
      </c>
      <c r="L73" t="str">
        <f t="shared" si="19"/>
        <v>No</v>
      </c>
      <c r="M73" t="str">
        <f t="shared" ref="M73:M108" si="20">IF(K73&lt;=5, "Yes", "No")</f>
        <v>No</v>
      </c>
      <c r="N73" t="str">
        <f t="shared" ref="N73:N108" si="21">IF(K73&lt;=10,"Yes","no")</f>
        <v>no</v>
      </c>
    </row>
    <row r="74" spans="1:14" x14ac:dyDescent="0.35">
      <c r="A74" t="s">
        <v>42</v>
      </c>
      <c r="B74" t="s">
        <v>20</v>
      </c>
      <c r="C74">
        <v>42.4</v>
      </c>
      <c r="D74">
        <v>-73.383300000000006</v>
      </c>
      <c r="E74" t="s">
        <v>364</v>
      </c>
      <c r="F74">
        <v>1405</v>
      </c>
      <c r="G74">
        <f t="shared" si="14"/>
        <v>0.16061835626138077</v>
      </c>
      <c r="H74">
        <f t="shared" si="15"/>
        <v>-0.68603591647392648</v>
      </c>
      <c r="I74">
        <f t="shared" si="16"/>
        <v>17.828637545013265</v>
      </c>
      <c r="J74">
        <f t="shared" si="17"/>
        <v>-56.597963109098934</v>
      </c>
      <c r="K74">
        <f t="shared" si="18"/>
        <v>59.339613622017971</v>
      </c>
      <c r="L74" t="str">
        <f t="shared" si="19"/>
        <v>No</v>
      </c>
      <c r="M74" t="str">
        <f t="shared" si="20"/>
        <v>No</v>
      </c>
      <c r="N74" t="str">
        <f t="shared" si="21"/>
        <v>no</v>
      </c>
    </row>
    <row r="75" spans="1:14" x14ac:dyDescent="0.35">
      <c r="A75" t="s">
        <v>26</v>
      </c>
      <c r="B75" t="s">
        <v>20</v>
      </c>
      <c r="C75">
        <v>42.216999999999999</v>
      </c>
      <c r="D75">
        <v>-73.466700000000003</v>
      </c>
      <c r="E75" t="s">
        <v>364</v>
      </c>
      <c r="F75">
        <v>1375</v>
      </c>
      <c r="G75">
        <f t="shared" si="14"/>
        <v>-2.2381643738619061E-2</v>
      </c>
      <c r="H75">
        <f t="shared" si="15"/>
        <v>-0.76943591647392395</v>
      </c>
      <c r="I75">
        <f t="shared" si="16"/>
        <v>-2.4843624549867158</v>
      </c>
      <c r="J75">
        <f t="shared" si="17"/>
        <v>-63.478463109098726</v>
      </c>
      <c r="K75">
        <f t="shared" si="18"/>
        <v>63.527059868224313</v>
      </c>
      <c r="L75" t="str">
        <f t="shared" si="19"/>
        <v>No</v>
      </c>
      <c r="M75" t="str">
        <f t="shared" si="20"/>
        <v>No</v>
      </c>
      <c r="N75" t="str">
        <f t="shared" si="21"/>
        <v>no</v>
      </c>
    </row>
    <row r="76" spans="1:14" x14ac:dyDescent="0.35">
      <c r="A76" t="s">
        <v>178</v>
      </c>
      <c r="B76" t="s">
        <v>166</v>
      </c>
      <c r="C76">
        <v>42.416699999999999</v>
      </c>
      <c r="D76">
        <v>-72.433300000000003</v>
      </c>
      <c r="E76" t="s">
        <v>364</v>
      </c>
      <c r="F76">
        <v>1343</v>
      </c>
      <c r="G76">
        <f t="shared" si="14"/>
        <v>0.17731835626138093</v>
      </c>
      <c r="H76">
        <f t="shared" si="15"/>
        <v>0.26396408352607637</v>
      </c>
      <c r="I76">
        <f t="shared" si="16"/>
        <v>19.682337545013283</v>
      </c>
      <c r="J76">
        <f t="shared" si="17"/>
        <v>21.7770368909013</v>
      </c>
      <c r="K76">
        <f t="shared" si="18"/>
        <v>29.353598535503544</v>
      </c>
      <c r="L76" t="str">
        <f t="shared" si="19"/>
        <v>No</v>
      </c>
      <c r="M76" t="str">
        <f t="shared" si="20"/>
        <v>No</v>
      </c>
      <c r="N76" t="str">
        <f t="shared" si="21"/>
        <v>no</v>
      </c>
    </row>
    <row r="77" spans="1:14" x14ac:dyDescent="0.35">
      <c r="A77" t="s">
        <v>49</v>
      </c>
      <c r="B77" t="s">
        <v>20</v>
      </c>
      <c r="C77">
        <v>42.333300000000001</v>
      </c>
      <c r="D77">
        <v>-73.349999999999994</v>
      </c>
      <c r="E77" t="s">
        <v>364</v>
      </c>
      <c r="F77">
        <v>1323</v>
      </c>
      <c r="G77">
        <f t="shared" si="14"/>
        <v>9.3918356261383451E-2</v>
      </c>
      <c r="H77">
        <f t="shared" si="15"/>
        <v>-0.65273591647391527</v>
      </c>
      <c r="I77">
        <f t="shared" si="16"/>
        <v>10.424937545013563</v>
      </c>
      <c r="J77">
        <f t="shared" si="17"/>
        <v>-53.85071310909801</v>
      </c>
      <c r="K77">
        <f t="shared" si="18"/>
        <v>54.850511621823671</v>
      </c>
      <c r="L77" t="str">
        <f t="shared" si="19"/>
        <v>No</v>
      </c>
      <c r="M77" t="str">
        <f t="shared" si="20"/>
        <v>No</v>
      </c>
      <c r="N77" t="str">
        <f t="shared" si="21"/>
        <v>no</v>
      </c>
    </row>
    <row r="78" spans="1:14" x14ac:dyDescent="0.35">
      <c r="A78" t="s">
        <v>146</v>
      </c>
      <c r="B78" t="s">
        <v>143</v>
      </c>
      <c r="C78">
        <v>42.2667</v>
      </c>
      <c r="D78">
        <v>-73.066699999999997</v>
      </c>
      <c r="E78" t="s">
        <v>364</v>
      </c>
      <c r="F78">
        <v>1221</v>
      </c>
      <c r="G78">
        <f t="shared" si="14"/>
        <v>2.7318356261382348E-2</v>
      </c>
      <c r="H78">
        <f t="shared" si="15"/>
        <v>-0.36943591647391827</v>
      </c>
      <c r="I78">
        <f t="shared" si="16"/>
        <v>3.0323375450134407</v>
      </c>
      <c r="J78">
        <f t="shared" si="17"/>
        <v>-30.478463109098257</v>
      </c>
      <c r="K78">
        <f t="shared" si="18"/>
        <v>30.628937044559049</v>
      </c>
      <c r="L78" t="str">
        <f t="shared" si="19"/>
        <v>No</v>
      </c>
      <c r="M78" t="str">
        <f t="shared" si="20"/>
        <v>No</v>
      </c>
      <c r="N78" t="str">
        <f t="shared" si="21"/>
        <v>no</v>
      </c>
    </row>
    <row r="79" spans="1:14" x14ac:dyDescent="0.35">
      <c r="A79" t="s">
        <v>144</v>
      </c>
      <c r="B79" t="s">
        <v>143</v>
      </c>
      <c r="C79">
        <v>42.116700000000002</v>
      </c>
      <c r="D79">
        <v>-73.033299999999997</v>
      </c>
      <c r="E79" t="s">
        <v>364</v>
      </c>
      <c r="F79">
        <v>1209</v>
      </c>
      <c r="G79">
        <f t="shared" si="14"/>
        <v>-0.12268164373861623</v>
      </c>
      <c r="H79">
        <f t="shared" si="15"/>
        <v>-0.33603591647391795</v>
      </c>
      <c r="I79">
        <f t="shared" si="16"/>
        <v>-13.617662454986402</v>
      </c>
      <c r="J79">
        <f t="shared" si="17"/>
        <v>-27.722963109098231</v>
      </c>
      <c r="K79">
        <f t="shared" si="18"/>
        <v>30.886945693712864</v>
      </c>
      <c r="L79" t="str">
        <f t="shared" si="19"/>
        <v>No</v>
      </c>
      <c r="M79" t="str">
        <f t="shared" si="20"/>
        <v>No</v>
      </c>
      <c r="N79" t="str">
        <f t="shared" si="21"/>
        <v>no</v>
      </c>
    </row>
    <row r="80" spans="1:14" x14ac:dyDescent="0.35">
      <c r="A80" t="s">
        <v>185</v>
      </c>
      <c r="B80" t="s">
        <v>166</v>
      </c>
      <c r="C80">
        <v>42.416699999999999</v>
      </c>
      <c r="D80">
        <v>-72.900000000000006</v>
      </c>
      <c r="E80" t="s">
        <v>364</v>
      </c>
      <c r="F80">
        <v>1181</v>
      </c>
      <c r="G80">
        <f t="shared" si="14"/>
        <v>0.17731835626138093</v>
      </c>
      <c r="H80">
        <f t="shared" si="15"/>
        <v>-0.20273591647392664</v>
      </c>
      <c r="I80">
        <f t="shared" si="16"/>
        <v>19.682337545013283</v>
      </c>
      <c r="J80">
        <f t="shared" si="17"/>
        <v>-16.725713109098947</v>
      </c>
      <c r="K80">
        <f t="shared" si="18"/>
        <v>25.829128716310272</v>
      </c>
      <c r="L80" t="str">
        <f t="shared" si="19"/>
        <v>No</v>
      </c>
      <c r="M80" t="str">
        <f t="shared" si="20"/>
        <v>No</v>
      </c>
      <c r="N80" t="str">
        <f t="shared" si="21"/>
        <v>no</v>
      </c>
    </row>
    <row r="81" spans="1:14" x14ac:dyDescent="0.35">
      <c r="A81" t="s">
        <v>119</v>
      </c>
      <c r="B81" t="s">
        <v>116</v>
      </c>
      <c r="C81">
        <v>42.633299999999998</v>
      </c>
      <c r="D81">
        <v>-72.900000000000006</v>
      </c>
      <c r="E81" t="s">
        <v>364</v>
      </c>
      <c r="F81">
        <v>1179</v>
      </c>
      <c r="G81">
        <f t="shared" si="14"/>
        <v>0.39391835626138061</v>
      </c>
      <c r="H81">
        <f t="shared" si="15"/>
        <v>-0.20273591647392664</v>
      </c>
      <c r="I81">
        <f t="shared" si="16"/>
        <v>43.724937545013248</v>
      </c>
      <c r="J81">
        <f t="shared" si="17"/>
        <v>-16.725713109098947</v>
      </c>
      <c r="K81">
        <f t="shared" si="18"/>
        <v>46.814737447978857</v>
      </c>
      <c r="L81" t="str">
        <f t="shared" si="19"/>
        <v>No</v>
      </c>
      <c r="M81" t="str">
        <f t="shared" si="20"/>
        <v>No</v>
      </c>
      <c r="N81" t="str">
        <f t="shared" si="21"/>
        <v>no</v>
      </c>
    </row>
    <row r="82" spans="1:14" x14ac:dyDescent="0.35">
      <c r="A82" t="s">
        <v>168</v>
      </c>
      <c r="B82" t="s">
        <v>166</v>
      </c>
      <c r="C82">
        <v>42.366700000000002</v>
      </c>
      <c r="D82">
        <v>-72.900000000000006</v>
      </c>
      <c r="E82" t="s">
        <v>364</v>
      </c>
      <c r="F82">
        <v>1174</v>
      </c>
      <c r="G82">
        <f t="shared" si="14"/>
        <v>0.12731835626138377</v>
      </c>
      <c r="H82">
        <f t="shared" si="15"/>
        <v>-0.20273591647392664</v>
      </c>
      <c r="I82">
        <f t="shared" si="16"/>
        <v>14.132337545013598</v>
      </c>
      <c r="J82">
        <f t="shared" si="17"/>
        <v>-16.725713109098947</v>
      </c>
      <c r="K82">
        <f t="shared" si="18"/>
        <v>21.896859215286685</v>
      </c>
      <c r="L82" t="str">
        <f t="shared" si="19"/>
        <v>No</v>
      </c>
      <c r="M82" t="str">
        <f t="shared" si="20"/>
        <v>No</v>
      </c>
      <c r="N82" t="str">
        <f t="shared" si="21"/>
        <v>no</v>
      </c>
    </row>
    <row r="83" spans="1:14" x14ac:dyDescent="0.35">
      <c r="A83" t="s">
        <v>34</v>
      </c>
      <c r="B83" t="s">
        <v>20</v>
      </c>
      <c r="C83">
        <v>42.3</v>
      </c>
      <c r="D83">
        <v>-73.349999999999994</v>
      </c>
      <c r="E83" t="s">
        <v>364</v>
      </c>
      <c r="F83">
        <v>1085</v>
      </c>
      <c r="G83">
        <f t="shared" si="14"/>
        <v>6.0618356261379347E-2</v>
      </c>
      <c r="H83">
        <f t="shared" si="15"/>
        <v>-0.65273591647391527</v>
      </c>
      <c r="I83">
        <f t="shared" si="16"/>
        <v>6.7286375450131075</v>
      </c>
      <c r="J83">
        <f t="shared" si="17"/>
        <v>-53.85071310909801</v>
      </c>
      <c r="K83">
        <f t="shared" si="18"/>
        <v>54.269456101664964</v>
      </c>
      <c r="L83" t="str">
        <f t="shared" si="19"/>
        <v>No</v>
      </c>
      <c r="M83" t="str">
        <f t="shared" si="20"/>
        <v>No</v>
      </c>
      <c r="N83" t="str">
        <f t="shared" si="21"/>
        <v>no</v>
      </c>
    </row>
    <row r="84" spans="1:14" x14ac:dyDescent="0.35">
      <c r="A84" t="s">
        <v>132</v>
      </c>
      <c r="B84" t="s">
        <v>116</v>
      </c>
      <c r="C84">
        <v>42.433300000000003</v>
      </c>
      <c r="D84">
        <v>-72.2667</v>
      </c>
      <c r="E84" t="s">
        <v>364</v>
      </c>
      <c r="F84">
        <v>1023</v>
      </c>
      <c r="G84">
        <f t="shared" si="14"/>
        <v>0.19391835626138487</v>
      </c>
      <c r="H84">
        <f t="shared" si="15"/>
        <v>0.43056408352607889</v>
      </c>
      <c r="I84">
        <f t="shared" si="16"/>
        <v>21.524937545013721</v>
      </c>
      <c r="J84">
        <f t="shared" si="17"/>
        <v>35.521536890901508</v>
      </c>
      <c r="K84">
        <f t="shared" si="18"/>
        <v>41.534353484897515</v>
      </c>
      <c r="L84" t="str">
        <f t="shared" si="19"/>
        <v>No</v>
      </c>
      <c r="M84" t="str">
        <f t="shared" si="20"/>
        <v>No</v>
      </c>
      <c r="N84" t="str">
        <f t="shared" si="21"/>
        <v>no</v>
      </c>
    </row>
    <row r="85" spans="1:14" x14ac:dyDescent="0.35">
      <c r="A85" t="s">
        <v>43</v>
      </c>
      <c r="B85" t="s">
        <v>20</v>
      </c>
      <c r="C85">
        <v>42.183300000000003</v>
      </c>
      <c r="D85">
        <v>-73.2333</v>
      </c>
      <c r="E85" t="s">
        <v>364</v>
      </c>
      <c r="F85">
        <v>984</v>
      </c>
      <c r="G85">
        <f t="shared" si="14"/>
        <v>-5.6081643738615128E-2</v>
      </c>
      <c r="H85">
        <f t="shared" si="15"/>
        <v>-0.53603591647392079</v>
      </c>
      <c r="I85">
        <f t="shared" si="16"/>
        <v>-6.2250624549862792</v>
      </c>
      <c r="J85">
        <f t="shared" si="17"/>
        <v>-44.222963109098465</v>
      </c>
      <c r="K85">
        <f t="shared" si="18"/>
        <v>44.658950600267843</v>
      </c>
      <c r="L85" t="str">
        <f t="shared" si="19"/>
        <v>No</v>
      </c>
      <c r="M85" t="str">
        <f t="shared" si="20"/>
        <v>No</v>
      </c>
      <c r="N85" t="str">
        <f t="shared" si="21"/>
        <v>no</v>
      </c>
    </row>
    <row r="86" spans="1:14" x14ac:dyDescent="0.35">
      <c r="A86" t="s">
        <v>171</v>
      </c>
      <c r="B86" t="s">
        <v>166</v>
      </c>
      <c r="C86">
        <v>42.466700000000003</v>
      </c>
      <c r="D86">
        <v>-72.816699999999997</v>
      </c>
      <c r="E86" t="s">
        <v>364</v>
      </c>
      <c r="F86">
        <v>942</v>
      </c>
      <c r="G86">
        <f t="shared" si="14"/>
        <v>0.22731835626138519</v>
      </c>
      <c r="H86">
        <f t="shared" si="15"/>
        <v>-0.11943591647391827</v>
      </c>
      <c r="I86">
        <f t="shared" si="16"/>
        <v>25.232337545013756</v>
      </c>
      <c r="J86">
        <f t="shared" si="17"/>
        <v>-9.8534631090982572</v>
      </c>
      <c r="K86">
        <f t="shared" si="18"/>
        <v>27.08803413368846</v>
      </c>
      <c r="L86" t="str">
        <f t="shared" si="19"/>
        <v>No</v>
      </c>
      <c r="M86" t="str">
        <f t="shared" si="20"/>
        <v>No</v>
      </c>
      <c r="N86" t="str">
        <f t="shared" si="21"/>
        <v>no</v>
      </c>
    </row>
    <row r="87" spans="1:14" x14ac:dyDescent="0.35">
      <c r="A87" t="s">
        <v>140</v>
      </c>
      <c r="B87" t="s">
        <v>116</v>
      </c>
      <c r="C87">
        <v>42.383299999999998</v>
      </c>
      <c r="D87">
        <v>-72.416700000000006</v>
      </c>
      <c r="E87" t="s">
        <v>364</v>
      </c>
      <c r="F87">
        <v>916</v>
      </c>
      <c r="G87">
        <f t="shared" si="14"/>
        <v>0.14391835626138061</v>
      </c>
      <c r="H87">
        <f t="shared" si="15"/>
        <v>0.2805640835260732</v>
      </c>
      <c r="I87">
        <f t="shared" si="16"/>
        <v>15.974937545013248</v>
      </c>
      <c r="J87">
        <f t="shared" si="17"/>
        <v>23.146536890901039</v>
      </c>
      <c r="K87">
        <f t="shared" si="18"/>
        <v>28.124025309491469</v>
      </c>
      <c r="L87" t="str">
        <f t="shared" si="19"/>
        <v>No</v>
      </c>
      <c r="M87" t="str">
        <f t="shared" si="20"/>
        <v>No</v>
      </c>
      <c r="N87" t="str">
        <f t="shared" si="21"/>
        <v>no</v>
      </c>
    </row>
    <row r="88" spans="1:14" x14ac:dyDescent="0.35">
      <c r="A88" t="s">
        <v>155</v>
      </c>
      <c r="B88" t="s">
        <v>143</v>
      </c>
      <c r="C88">
        <v>42.133299999999998</v>
      </c>
      <c r="D88">
        <v>-72.833299999999994</v>
      </c>
      <c r="E88" t="s">
        <v>364</v>
      </c>
      <c r="F88">
        <v>837</v>
      </c>
      <c r="G88">
        <f t="shared" si="14"/>
        <v>-0.10608164373861939</v>
      </c>
      <c r="H88">
        <f t="shared" si="15"/>
        <v>-0.13603591647391511</v>
      </c>
      <c r="I88">
        <f t="shared" si="16"/>
        <v>-11.775062454986752</v>
      </c>
      <c r="J88">
        <f t="shared" si="17"/>
        <v>-11.222963109097996</v>
      </c>
      <c r="K88">
        <f t="shared" si="18"/>
        <v>16.266745119015457</v>
      </c>
      <c r="L88" t="str">
        <f t="shared" si="19"/>
        <v>No</v>
      </c>
      <c r="M88" t="str">
        <f t="shared" si="20"/>
        <v>No</v>
      </c>
      <c r="N88" t="str">
        <f t="shared" si="21"/>
        <v>no</v>
      </c>
    </row>
    <row r="89" spans="1:14" x14ac:dyDescent="0.35">
      <c r="A89" t="s">
        <v>169</v>
      </c>
      <c r="B89" t="s">
        <v>166</v>
      </c>
      <c r="C89">
        <v>42.4</v>
      </c>
      <c r="D89">
        <v>-72.9833</v>
      </c>
      <c r="E89" t="s">
        <v>364</v>
      </c>
      <c r="F89">
        <v>819</v>
      </c>
      <c r="G89">
        <f t="shared" si="14"/>
        <v>0.16061835626138077</v>
      </c>
      <c r="H89">
        <f t="shared" si="15"/>
        <v>-0.28603591647392079</v>
      </c>
      <c r="I89">
        <f t="shared" si="16"/>
        <v>17.828637545013265</v>
      </c>
      <c r="J89">
        <f t="shared" si="17"/>
        <v>-23.597963109098465</v>
      </c>
      <c r="K89">
        <f t="shared" si="18"/>
        <v>29.575736332504533</v>
      </c>
      <c r="L89" t="str">
        <f t="shared" si="19"/>
        <v>No</v>
      </c>
      <c r="M89" t="str">
        <f t="shared" si="20"/>
        <v>No</v>
      </c>
      <c r="N89" t="str">
        <f t="shared" si="21"/>
        <v>no</v>
      </c>
    </row>
    <row r="90" spans="1:14" x14ac:dyDescent="0.35">
      <c r="A90" t="s">
        <v>51</v>
      </c>
      <c r="B90" t="s">
        <v>20</v>
      </c>
      <c r="C90">
        <v>42.5</v>
      </c>
      <c r="D90">
        <v>-73.099999999999994</v>
      </c>
      <c r="E90" t="s">
        <v>364</v>
      </c>
      <c r="F90">
        <v>817</v>
      </c>
      <c r="G90">
        <f t="shared" si="14"/>
        <v>0.26061835626138219</v>
      </c>
      <c r="H90">
        <f t="shared" si="15"/>
        <v>-0.40273591647391527</v>
      </c>
      <c r="I90">
        <f t="shared" si="16"/>
        <v>28.928637545013423</v>
      </c>
      <c r="J90">
        <f t="shared" si="17"/>
        <v>-33.22571310909801</v>
      </c>
      <c r="K90">
        <f t="shared" si="18"/>
        <v>44.054671509600972</v>
      </c>
      <c r="L90" t="str">
        <f t="shared" si="19"/>
        <v>No</v>
      </c>
      <c r="M90" t="str">
        <f t="shared" si="20"/>
        <v>No</v>
      </c>
      <c r="N90" t="str">
        <f t="shared" si="21"/>
        <v>no</v>
      </c>
    </row>
    <row r="91" spans="1:14" x14ac:dyDescent="0.35">
      <c r="A91" t="s">
        <v>40</v>
      </c>
      <c r="B91" t="s">
        <v>20</v>
      </c>
      <c r="C91">
        <v>42.4</v>
      </c>
      <c r="D91">
        <v>-73.183300000000003</v>
      </c>
      <c r="E91" t="s">
        <v>364</v>
      </c>
      <c r="F91">
        <v>798</v>
      </c>
      <c r="G91">
        <f t="shared" si="14"/>
        <v>0.16061835626138077</v>
      </c>
      <c r="H91">
        <f t="shared" si="15"/>
        <v>-0.48603591647392363</v>
      </c>
      <c r="I91">
        <f t="shared" si="16"/>
        <v>17.828637545013265</v>
      </c>
      <c r="J91">
        <f t="shared" si="17"/>
        <v>-40.0979631090987</v>
      </c>
      <c r="K91">
        <f t="shared" si="18"/>
        <v>43.882877779495011</v>
      </c>
      <c r="L91" t="str">
        <f t="shared" si="19"/>
        <v>No</v>
      </c>
      <c r="M91" t="str">
        <f t="shared" si="20"/>
        <v>No</v>
      </c>
      <c r="N91" t="str">
        <f t="shared" si="21"/>
        <v>no</v>
      </c>
    </row>
    <row r="92" spans="1:14" x14ac:dyDescent="0.35">
      <c r="A92" t="s">
        <v>139</v>
      </c>
      <c r="B92" t="s">
        <v>116</v>
      </c>
      <c r="C92">
        <v>42.7</v>
      </c>
      <c r="D92">
        <v>-72.8</v>
      </c>
      <c r="E92" t="s">
        <v>364</v>
      </c>
      <c r="F92">
        <v>774</v>
      </c>
      <c r="G92">
        <f t="shared" si="14"/>
        <v>0.46061835626138503</v>
      </c>
      <c r="H92">
        <f t="shared" si="15"/>
        <v>-0.10273591647391811</v>
      </c>
      <c r="I92">
        <f t="shared" si="16"/>
        <v>51.128637545013738</v>
      </c>
      <c r="J92">
        <f t="shared" si="17"/>
        <v>-8.475713109098244</v>
      </c>
      <c r="K92">
        <f t="shared" si="18"/>
        <v>51.82639568711226</v>
      </c>
      <c r="L92" t="str">
        <f t="shared" si="19"/>
        <v>No</v>
      </c>
      <c r="M92" t="str">
        <f t="shared" si="20"/>
        <v>No</v>
      </c>
      <c r="N92" t="str">
        <f t="shared" si="21"/>
        <v>no</v>
      </c>
    </row>
    <row r="93" spans="1:14" x14ac:dyDescent="0.35">
      <c r="A93" t="s">
        <v>29</v>
      </c>
      <c r="B93" t="s">
        <v>20</v>
      </c>
      <c r="C93">
        <v>42.333300000000001</v>
      </c>
      <c r="D93">
        <v>-73.2</v>
      </c>
      <c r="E93" t="s">
        <v>364</v>
      </c>
      <c r="F93">
        <v>740</v>
      </c>
      <c r="G93">
        <f t="shared" si="14"/>
        <v>9.3918356261383451E-2</v>
      </c>
      <c r="H93">
        <f t="shared" si="15"/>
        <v>-0.50273591647392379</v>
      </c>
      <c r="I93">
        <f t="shared" si="16"/>
        <v>10.424937545013563</v>
      </c>
      <c r="J93">
        <f t="shared" si="17"/>
        <v>-41.475713109098713</v>
      </c>
      <c r="K93">
        <f t="shared" si="18"/>
        <v>42.765805273906587</v>
      </c>
      <c r="L93" t="str">
        <f t="shared" si="19"/>
        <v>No</v>
      </c>
      <c r="M93" t="str">
        <f t="shared" si="20"/>
        <v>No</v>
      </c>
      <c r="N93" t="str">
        <f t="shared" si="21"/>
        <v>no</v>
      </c>
    </row>
    <row r="94" spans="1:14" x14ac:dyDescent="0.35">
      <c r="A94" t="s">
        <v>129</v>
      </c>
      <c r="B94" t="s">
        <v>116</v>
      </c>
      <c r="C94">
        <v>42.7</v>
      </c>
      <c r="D94">
        <v>-72.633300000000006</v>
      </c>
      <c r="E94" t="s">
        <v>364</v>
      </c>
      <c r="F94">
        <v>735</v>
      </c>
      <c r="G94">
        <f t="shared" si="14"/>
        <v>0.46061835626138503</v>
      </c>
      <c r="H94">
        <f t="shared" si="15"/>
        <v>6.3964083526073523E-2</v>
      </c>
      <c r="I94">
        <f t="shared" si="16"/>
        <v>51.128637545013738</v>
      </c>
      <c r="J94">
        <f t="shared" si="17"/>
        <v>5.2770368909010656</v>
      </c>
      <c r="K94">
        <f t="shared" si="18"/>
        <v>51.400240228595422</v>
      </c>
      <c r="L94" t="str">
        <f t="shared" si="19"/>
        <v>No</v>
      </c>
      <c r="M94" t="str">
        <f t="shared" si="20"/>
        <v>No</v>
      </c>
      <c r="N94" t="str">
        <f t="shared" si="21"/>
        <v>no</v>
      </c>
    </row>
    <row r="95" spans="1:14" x14ac:dyDescent="0.35">
      <c r="A95" t="s">
        <v>127</v>
      </c>
      <c r="B95" t="s">
        <v>116</v>
      </c>
      <c r="C95">
        <v>42.5167</v>
      </c>
      <c r="D95">
        <v>-72.916700000000006</v>
      </c>
      <c r="E95" t="s">
        <v>364</v>
      </c>
      <c r="F95">
        <v>717</v>
      </c>
      <c r="G95">
        <f t="shared" si="14"/>
        <v>0.27731835626138235</v>
      </c>
      <c r="H95">
        <f t="shared" si="15"/>
        <v>-0.2194359164739268</v>
      </c>
      <c r="I95">
        <f t="shared" si="16"/>
        <v>30.782337545013441</v>
      </c>
      <c r="J95">
        <f t="shared" si="17"/>
        <v>-18.103463109098961</v>
      </c>
      <c r="K95">
        <f t="shared" si="18"/>
        <v>35.711170259145121</v>
      </c>
      <c r="L95" t="str">
        <f t="shared" si="19"/>
        <v>No</v>
      </c>
      <c r="M95" t="str">
        <f t="shared" si="20"/>
        <v>No</v>
      </c>
      <c r="N95" t="str">
        <f t="shared" si="21"/>
        <v>no</v>
      </c>
    </row>
    <row r="96" spans="1:14" x14ac:dyDescent="0.35">
      <c r="A96" t="s">
        <v>27</v>
      </c>
      <c r="B96" t="s">
        <v>20</v>
      </c>
      <c r="C96">
        <v>42.633299999999998</v>
      </c>
      <c r="D96">
        <v>-73.183300000000003</v>
      </c>
      <c r="E96" t="s">
        <v>364</v>
      </c>
      <c r="F96">
        <v>673</v>
      </c>
      <c r="G96">
        <f t="shared" si="14"/>
        <v>0.39391835626138061</v>
      </c>
      <c r="H96">
        <f t="shared" si="15"/>
        <v>-0.48603591647392363</v>
      </c>
      <c r="I96">
        <f t="shared" si="16"/>
        <v>43.724937545013248</v>
      </c>
      <c r="J96">
        <f t="shared" si="17"/>
        <v>-40.0979631090987</v>
      </c>
      <c r="K96">
        <f t="shared" si="18"/>
        <v>59.327201255528223</v>
      </c>
      <c r="L96" t="str">
        <f t="shared" si="19"/>
        <v>No</v>
      </c>
      <c r="M96" t="str">
        <f t="shared" si="20"/>
        <v>No</v>
      </c>
      <c r="N96" t="str">
        <f t="shared" si="21"/>
        <v>no</v>
      </c>
    </row>
    <row r="97" spans="1:14" x14ac:dyDescent="0.35">
      <c r="A97" t="s">
        <v>44</v>
      </c>
      <c r="B97" t="s">
        <v>20</v>
      </c>
      <c r="C97">
        <v>42.533299999999997</v>
      </c>
      <c r="D97">
        <v>-73.083299999999994</v>
      </c>
      <c r="E97" t="s">
        <v>364</v>
      </c>
      <c r="F97">
        <v>655</v>
      </c>
      <c r="G97">
        <f t="shared" si="14"/>
        <v>0.29391835626137919</v>
      </c>
      <c r="H97">
        <f t="shared" si="15"/>
        <v>-0.38603591647391511</v>
      </c>
      <c r="I97">
        <f t="shared" si="16"/>
        <v>32.62493754501309</v>
      </c>
      <c r="J97">
        <f t="shared" si="17"/>
        <v>-31.847963109097996</v>
      </c>
      <c r="K97">
        <f t="shared" si="18"/>
        <v>45.59253561729674</v>
      </c>
      <c r="L97" t="str">
        <f t="shared" si="19"/>
        <v>No</v>
      </c>
      <c r="M97" t="str">
        <f t="shared" si="20"/>
        <v>No</v>
      </c>
      <c r="N97" t="str">
        <f t="shared" si="21"/>
        <v>no</v>
      </c>
    </row>
    <row r="98" spans="1:14" x14ac:dyDescent="0.35">
      <c r="A98" t="s">
        <v>179</v>
      </c>
      <c r="B98" t="s">
        <v>166</v>
      </c>
      <c r="C98">
        <v>42.466700000000003</v>
      </c>
      <c r="D98">
        <v>-72.833299999999994</v>
      </c>
      <c r="E98" t="s">
        <v>364</v>
      </c>
      <c r="F98">
        <v>649</v>
      </c>
      <c r="G98">
        <f t="shared" si="14"/>
        <v>0.22731835626138519</v>
      </c>
      <c r="H98">
        <f t="shared" si="15"/>
        <v>-0.13603591647391511</v>
      </c>
      <c r="I98">
        <f t="shared" si="16"/>
        <v>25.232337545013756</v>
      </c>
      <c r="J98">
        <f t="shared" si="17"/>
        <v>-11.222963109097996</v>
      </c>
      <c r="K98">
        <f t="shared" si="18"/>
        <v>27.61567958486058</v>
      </c>
      <c r="L98" t="str">
        <f t="shared" si="19"/>
        <v>No</v>
      </c>
      <c r="M98" t="str">
        <f t="shared" si="20"/>
        <v>No</v>
      </c>
      <c r="N98" t="str">
        <f t="shared" si="21"/>
        <v>no</v>
      </c>
    </row>
    <row r="99" spans="1:14" x14ac:dyDescent="0.35">
      <c r="A99" t="s">
        <v>48</v>
      </c>
      <c r="B99" t="s">
        <v>20</v>
      </c>
      <c r="C99">
        <v>42.35</v>
      </c>
      <c r="D99">
        <v>-73.25</v>
      </c>
      <c r="E99" t="s">
        <v>364</v>
      </c>
      <c r="F99">
        <v>497</v>
      </c>
      <c r="G99">
        <f t="shared" si="14"/>
        <v>0.11061835626138361</v>
      </c>
      <c r="H99">
        <f t="shared" si="15"/>
        <v>-0.55273591647392095</v>
      </c>
      <c r="I99">
        <f t="shared" si="16"/>
        <v>12.278637545013581</v>
      </c>
      <c r="J99">
        <f t="shared" si="17"/>
        <v>-45.600713109098479</v>
      </c>
      <c r="K99">
        <f t="shared" si="18"/>
        <v>47.224887252593021</v>
      </c>
      <c r="L99" t="str">
        <f t="shared" si="19"/>
        <v>No</v>
      </c>
      <c r="M99" t="str">
        <f t="shared" si="20"/>
        <v>No</v>
      </c>
      <c r="N99" t="str">
        <f t="shared" si="21"/>
        <v>no</v>
      </c>
    </row>
    <row r="100" spans="1:14" x14ac:dyDescent="0.35">
      <c r="A100" t="s">
        <v>21</v>
      </c>
      <c r="B100" t="s">
        <v>20</v>
      </c>
      <c r="C100">
        <v>42.321100000000001</v>
      </c>
      <c r="D100">
        <v>-73.420199999999994</v>
      </c>
      <c r="E100" t="s">
        <v>364</v>
      </c>
      <c r="F100">
        <v>483</v>
      </c>
      <c r="G100">
        <f t="shared" si="14"/>
        <v>8.1718356261383462E-2</v>
      </c>
      <c r="H100">
        <f t="shared" si="15"/>
        <v>-0.72293591647391509</v>
      </c>
      <c r="I100">
        <f t="shared" si="16"/>
        <v>9.0707375450135643</v>
      </c>
      <c r="J100">
        <f t="shared" si="17"/>
        <v>-59.642213109097995</v>
      </c>
      <c r="K100">
        <f t="shared" si="18"/>
        <v>60.328035474077716</v>
      </c>
      <c r="L100" t="str">
        <f t="shared" si="19"/>
        <v>No</v>
      </c>
      <c r="M100" t="str">
        <f t="shared" si="20"/>
        <v>No</v>
      </c>
      <c r="N100" t="str">
        <f t="shared" si="21"/>
        <v>no</v>
      </c>
    </row>
    <row r="101" spans="1:14" x14ac:dyDescent="0.35">
      <c r="A101" t="s">
        <v>160</v>
      </c>
      <c r="B101" t="s">
        <v>143</v>
      </c>
      <c r="C101">
        <v>42.083300000000001</v>
      </c>
      <c r="D101">
        <v>-73.05</v>
      </c>
      <c r="E101" t="s">
        <v>364</v>
      </c>
      <c r="F101">
        <v>474</v>
      </c>
      <c r="G101">
        <f t="shared" si="14"/>
        <v>-0.15608164373861655</v>
      </c>
      <c r="H101">
        <f t="shared" si="15"/>
        <v>-0.35273591647391811</v>
      </c>
      <c r="I101">
        <f t="shared" si="16"/>
        <v>-17.325062454986437</v>
      </c>
      <c r="J101">
        <f t="shared" si="17"/>
        <v>-29.100713109098244</v>
      </c>
      <c r="K101">
        <f t="shared" si="18"/>
        <v>33.867525633373681</v>
      </c>
      <c r="L101" t="str">
        <f t="shared" si="19"/>
        <v>No</v>
      </c>
      <c r="M101" t="str">
        <f t="shared" si="20"/>
        <v>No</v>
      </c>
      <c r="N101" t="str">
        <f t="shared" si="21"/>
        <v>no</v>
      </c>
    </row>
    <row r="102" spans="1:14" x14ac:dyDescent="0.35">
      <c r="A102" t="s">
        <v>135</v>
      </c>
      <c r="B102" t="s">
        <v>116</v>
      </c>
      <c r="C102">
        <v>42.7</v>
      </c>
      <c r="D102">
        <v>-73.05</v>
      </c>
      <c r="E102" t="s">
        <v>364</v>
      </c>
      <c r="F102">
        <v>419</v>
      </c>
      <c r="G102">
        <f t="shared" si="14"/>
        <v>0.46061835626138503</v>
      </c>
      <c r="H102">
        <f t="shared" si="15"/>
        <v>-0.35273591647391811</v>
      </c>
      <c r="I102">
        <f t="shared" si="16"/>
        <v>51.128637545013738</v>
      </c>
      <c r="J102">
        <f t="shared" si="17"/>
        <v>-29.100713109098244</v>
      </c>
      <c r="K102">
        <f t="shared" si="18"/>
        <v>58.830171516556284</v>
      </c>
      <c r="L102" t="str">
        <f t="shared" si="19"/>
        <v>No</v>
      </c>
      <c r="M102" t="str">
        <f t="shared" si="20"/>
        <v>No</v>
      </c>
      <c r="N102" t="str">
        <f t="shared" si="21"/>
        <v>no</v>
      </c>
    </row>
    <row r="103" spans="1:14" x14ac:dyDescent="0.35">
      <c r="A103" t="s">
        <v>47</v>
      </c>
      <c r="B103" t="s">
        <v>20</v>
      </c>
      <c r="C103">
        <v>42.25</v>
      </c>
      <c r="D103">
        <v>-73.25</v>
      </c>
      <c r="E103" t="s">
        <v>364</v>
      </c>
      <c r="F103">
        <v>419</v>
      </c>
      <c r="G103">
        <f t="shared" si="14"/>
        <v>1.0618356261382189E-2</v>
      </c>
      <c r="H103">
        <f t="shared" si="15"/>
        <v>-0.55273591647392095</v>
      </c>
      <c r="I103">
        <f t="shared" si="16"/>
        <v>1.178637545013423</v>
      </c>
      <c r="J103">
        <f t="shared" si="17"/>
        <v>-45.600713109098479</v>
      </c>
      <c r="K103">
        <f t="shared" si="18"/>
        <v>45.615942635451709</v>
      </c>
      <c r="L103" t="str">
        <f t="shared" si="19"/>
        <v>No</v>
      </c>
      <c r="M103" t="str">
        <f t="shared" si="20"/>
        <v>No</v>
      </c>
      <c r="N103" t="str">
        <f t="shared" si="21"/>
        <v>no</v>
      </c>
    </row>
    <row r="104" spans="1:14" x14ac:dyDescent="0.35">
      <c r="A104" t="s">
        <v>176</v>
      </c>
      <c r="B104" t="s">
        <v>166</v>
      </c>
      <c r="C104">
        <v>42.45</v>
      </c>
      <c r="D104">
        <v>-73.033299999999997</v>
      </c>
      <c r="E104" t="s">
        <v>364</v>
      </c>
      <c r="F104">
        <v>397</v>
      </c>
      <c r="G104">
        <f t="shared" si="14"/>
        <v>0.21061835626138503</v>
      </c>
      <c r="H104">
        <f t="shared" si="15"/>
        <v>-0.33603591647391795</v>
      </c>
      <c r="I104">
        <f t="shared" si="16"/>
        <v>23.378637545013738</v>
      </c>
      <c r="J104">
        <f t="shared" si="17"/>
        <v>-27.722963109098231</v>
      </c>
      <c r="K104">
        <f t="shared" ref="K104:K108" si="22">SQRT(I104^2+J104^2)</f>
        <v>36.264629834172403</v>
      </c>
      <c r="L104" t="str">
        <f t="shared" ref="L104:L108" si="23">IF(K104&lt;=15,"Yes","No")</f>
        <v>No</v>
      </c>
      <c r="M104" t="str">
        <f t="shared" si="20"/>
        <v>No</v>
      </c>
      <c r="N104" t="str">
        <f t="shared" si="21"/>
        <v>no</v>
      </c>
    </row>
    <row r="105" spans="1:14" x14ac:dyDescent="0.35">
      <c r="A105" t="s">
        <v>126</v>
      </c>
      <c r="B105" t="s">
        <v>116</v>
      </c>
      <c r="C105">
        <v>42.566699999999997</v>
      </c>
      <c r="D105">
        <v>-72.833299999999994</v>
      </c>
      <c r="E105" t="s">
        <v>364</v>
      </c>
      <c r="F105">
        <v>352</v>
      </c>
      <c r="G105">
        <f t="shared" si="14"/>
        <v>0.32731835626137951</v>
      </c>
      <c r="H105">
        <f t="shared" si="15"/>
        <v>-0.13603591647391511</v>
      </c>
      <c r="I105">
        <f t="shared" si="16"/>
        <v>36.332337545013125</v>
      </c>
      <c r="J105">
        <f t="shared" si="17"/>
        <v>-11.222963109097996</v>
      </c>
      <c r="K105">
        <f t="shared" si="22"/>
        <v>38.026223220732092</v>
      </c>
      <c r="L105" t="str">
        <f t="shared" si="23"/>
        <v>No</v>
      </c>
      <c r="M105" t="str">
        <f t="shared" si="20"/>
        <v>No</v>
      </c>
      <c r="N105" t="str">
        <f t="shared" si="21"/>
        <v>no</v>
      </c>
    </row>
    <row r="106" spans="1:14" x14ac:dyDescent="0.35">
      <c r="A106" t="s">
        <v>36</v>
      </c>
      <c r="B106" t="s">
        <v>20</v>
      </c>
      <c r="C106">
        <v>42.666699999999999</v>
      </c>
      <c r="D106">
        <v>-73.283299999999997</v>
      </c>
      <c r="E106" t="s">
        <v>364</v>
      </c>
      <c r="F106">
        <v>249</v>
      </c>
      <c r="G106">
        <f t="shared" si="14"/>
        <v>0.42731835626138093</v>
      </c>
      <c r="H106">
        <f t="shared" si="15"/>
        <v>-0.58603591647391795</v>
      </c>
      <c r="I106">
        <f t="shared" si="16"/>
        <v>47.432337545013283</v>
      </c>
      <c r="J106">
        <f t="shared" si="17"/>
        <v>-48.347963109098231</v>
      </c>
      <c r="K106">
        <f t="shared" si="22"/>
        <v>67.729994697938665</v>
      </c>
      <c r="L106" t="str">
        <f t="shared" si="23"/>
        <v>No</v>
      </c>
      <c r="M106" t="str">
        <f t="shared" si="20"/>
        <v>No</v>
      </c>
      <c r="N106" t="str">
        <f t="shared" si="21"/>
        <v>no</v>
      </c>
    </row>
    <row r="107" spans="1:14" x14ac:dyDescent="0.35">
      <c r="A107" t="s">
        <v>35</v>
      </c>
      <c r="B107" t="s">
        <v>20</v>
      </c>
      <c r="C107">
        <v>42.15</v>
      </c>
      <c r="D107">
        <v>-73.45</v>
      </c>
      <c r="E107" t="s">
        <v>364</v>
      </c>
      <c r="F107">
        <v>157</v>
      </c>
      <c r="G107">
        <f t="shared" si="14"/>
        <v>-8.9381643738619232E-2</v>
      </c>
      <c r="H107">
        <f t="shared" si="15"/>
        <v>-0.75273591647392379</v>
      </c>
      <c r="I107">
        <f t="shared" si="16"/>
        <v>-9.9213624549867347</v>
      </c>
      <c r="J107">
        <f t="shared" si="17"/>
        <v>-62.100713109098713</v>
      </c>
      <c r="K107">
        <f t="shared" si="22"/>
        <v>62.888250107804758</v>
      </c>
      <c r="L107" t="str">
        <f t="shared" si="23"/>
        <v>No</v>
      </c>
      <c r="M107" t="str">
        <f t="shared" si="20"/>
        <v>No</v>
      </c>
      <c r="N107" t="str">
        <f t="shared" si="21"/>
        <v>no</v>
      </c>
    </row>
    <row r="108" spans="1:14" x14ac:dyDescent="0.35">
      <c r="A108" t="s">
        <v>130</v>
      </c>
      <c r="B108" t="s">
        <v>116</v>
      </c>
      <c r="C108">
        <v>42.666699999999999</v>
      </c>
      <c r="D108">
        <v>-73.033299999999997</v>
      </c>
      <c r="E108" t="s">
        <v>364</v>
      </c>
      <c r="F108">
        <v>115</v>
      </c>
      <c r="G108">
        <f t="shared" si="14"/>
        <v>0.42731835626138093</v>
      </c>
      <c r="H108">
        <f t="shared" si="15"/>
        <v>-0.33603591647391795</v>
      </c>
      <c r="I108">
        <f t="shared" si="16"/>
        <v>47.432337545013283</v>
      </c>
      <c r="J108">
        <f t="shared" si="17"/>
        <v>-27.722963109098231</v>
      </c>
      <c r="K108">
        <f t="shared" si="22"/>
        <v>54.93987011754303</v>
      </c>
      <c r="L108" t="str">
        <f t="shared" si="23"/>
        <v>No</v>
      </c>
      <c r="M108" t="str">
        <f t="shared" si="20"/>
        <v>No</v>
      </c>
      <c r="N108" t="str">
        <f t="shared" si="21"/>
        <v>no</v>
      </c>
    </row>
    <row r="111" spans="1:14" ht="14.25" customHeight="1" x14ac:dyDescent="0.35">
      <c r="A111" s="9" t="s">
        <v>418</v>
      </c>
      <c r="B111" s="9"/>
      <c r="C111" s="9"/>
      <c r="D111" s="9"/>
      <c r="E111" s="9"/>
      <c r="F111" s="9"/>
      <c r="G111">
        <f>SUMIFS(F8:F108,L8:L108,"Yes")</f>
        <v>212945</v>
      </c>
    </row>
    <row r="112" spans="1:14" ht="14.25" customHeight="1" x14ac:dyDescent="0.35">
      <c r="A112" s="6"/>
      <c r="B112" s="6"/>
      <c r="C112" s="6"/>
      <c r="D112" s="6"/>
      <c r="E112" s="6"/>
      <c r="F112" s="6"/>
    </row>
    <row r="113" spans="1:14" x14ac:dyDescent="0.35">
      <c r="A113" t="s">
        <v>422</v>
      </c>
    </row>
    <row r="114" spans="1:14" x14ac:dyDescent="0.35">
      <c r="A114" t="s">
        <v>419</v>
      </c>
    </row>
    <row r="115" spans="1:14" x14ac:dyDescent="0.35">
      <c r="A115" t="s">
        <v>420</v>
      </c>
    </row>
    <row r="116" spans="1:14" x14ac:dyDescent="0.35">
      <c r="A116" t="s">
        <v>421</v>
      </c>
    </row>
    <row r="118" spans="1:14" x14ac:dyDescent="0.35">
      <c r="A118" t="s">
        <v>392</v>
      </c>
      <c r="B118" t="s">
        <v>423</v>
      </c>
      <c r="C118">
        <v>42.101500000000001</v>
      </c>
      <c r="D118">
        <v>-72.589799999999997</v>
      </c>
    </row>
    <row r="120" spans="1:14" x14ac:dyDescent="0.35">
      <c r="A120" s="1" t="s">
        <v>0</v>
      </c>
      <c r="B120" s="1" t="s">
        <v>389</v>
      </c>
      <c r="C120" s="1" t="s">
        <v>2</v>
      </c>
      <c r="D120" s="1" t="s">
        <v>3</v>
      </c>
      <c r="E120" s="2" t="s">
        <v>361</v>
      </c>
      <c r="F120" s="2" t="s">
        <v>365</v>
      </c>
      <c r="G120" s="2" t="s">
        <v>410</v>
      </c>
      <c r="H120" s="2" t="s">
        <v>411</v>
      </c>
      <c r="I120" s="2" t="s">
        <v>412</v>
      </c>
      <c r="J120" s="2" t="s">
        <v>413</v>
      </c>
      <c r="K120" s="2" t="s">
        <v>414</v>
      </c>
      <c r="L120" t="s">
        <v>415</v>
      </c>
      <c r="M120" s="8" t="s">
        <v>427</v>
      </c>
      <c r="N120" s="8" t="s">
        <v>428</v>
      </c>
    </row>
    <row r="121" spans="1:14" x14ac:dyDescent="0.35">
      <c r="A121" t="s">
        <v>159</v>
      </c>
      <c r="B121" t="s">
        <v>143</v>
      </c>
      <c r="C121">
        <v>42.101500000000001</v>
      </c>
      <c r="D121">
        <v>-72.589799999999997</v>
      </c>
      <c r="E121" t="s">
        <v>364</v>
      </c>
      <c r="F121">
        <v>154888</v>
      </c>
      <c r="G121">
        <f>C121-$C$118</f>
        <v>0</v>
      </c>
      <c r="H121">
        <f>D121-$D$118</f>
        <v>0</v>
      </c>
      <c r="I121">
        <f t="shared" ref="I121:I152" si="24">111*G121</f>
        <v>0</v>
      </c>
      <c r="J121">
        <f t="shared" ref="J121:J152" si="25">82.5*H121</f>
        <v>0</v>
      </c>
      <c r="K121">
        <f t="shared" ref="K121:K152" si="26">SQRT(I121^2+J121^2)</f>
        <v>0</v>
      </c>
      <c r="L121" t="str">
        <f t="shared" ref="L121:L152" si="27">IF(K121&lt;=15,"Yes","No")</f>
        <v>Yes</v>
      </c>
      <c r="M121" t="str">
        <f>IF(K121&lt;=5, "Yes", "No")</f>
        <v>Yes</v>
      </c>
      <c r="N121" t="str">
        <f>IF(K121&lt;=10,"Yes","no")</f>
        <v>Yes</v>
      </c>
    </row>
    <row r="122" spans="1:14" x14ac:dyDescent="0.35">
      <c r="A122" t="s">
        <v>147</v>
      </c>
      <c r="B122" t="s">
        <v>143</v>
      </c>
      <c r="C122">
        <v>42.160499999999999</v>
      </c>
      <c r="D122">
        <v>-72.578800000000001</v>
      </c>
      <c r="E122" t="s">
        <v>364</v>
      </c>
      <c r="F122">
        <v>55381</v>
      </c>
      <c r="G122">
        <f t="shared" ref="G122:G185" si="28">C122-$C$118</f>
        <v>5.8999999999997499E-2</v>
      </c>
      <c r="H122">
        <f t="shared" ref="H122:H185" si="29">D122-$D$118</f>
        <v>1.099999999999568E-2</v>
      </c>
      <c r="I122">
        <f t="shared" si="24"/>
        <v>6.5489999999997224</v>
      </c>
      <c r="J122">
        <f t="shared" si="25"/>
        <v>0.90749999999964359</v>
      </c>
      <c r="K122">
        <f t="shared" si="26"/>
        <v>6.611577515993873</v>
      </c>
      <c r="L122" t="str">
        <f t="shared" si="27"/>
        <v>Yes</v>
      </c>
      <c r="M122" t="str">
        <f t="shared" ref="M122:M185" si="30">IF(K122&lt;=5, "Yes", "No")</f>
        <v>No</v>
      </c>
      <c r="N122" t="str">
        <f t="shared" ref="N122:N185" si="31">IF(K122&lt;=10,"Yes","no")</f>
        <v>Yes</v>
      </c>
    </row>
    <row r="123" spans="1:14" hidden="1" x14ac:dyDescent="0.35">
      <c r="A123" t="s">
        <v>41</v>
      </c>
      <c r="B123" t="s">
        <v>20</v>
      </c>
      <c r="C123">
        <v>42.450800000000001</v>
      </c>
      <c r="D123">
        <v>-73.252600000000001</v>
      </c>
      <c r="E123" t="s">
        <v>364</v>
      </c>
      <c r="F123">
        <v>43121</v>
      </c>
      <c r="G123">
        <f t="shared" si="28"/>
        <v>0.3492999999999995</v>
      </c>
      <c r="H123">
        <f t="shared" si="29"/>
        <v>-0.66280000000000427</v>
      </c>
      <c r="I123">
        <f t="shared" si="24"/>
        <v>38.772299999999944</v>
      </c>
      <c r="J123">
        <f t="shared" si="25"/>
        <v>-54.681000000000353</v>
      </c>
      <c r="K123">
        <f t="shared" si="26"/>
        <v>67.032104310472263</v>
      </c>
      <c r="L123" t="str">
        <f t="shared" si="27"/>
        <v>No</v>
      </c>
      <c r="M123" t="str">
        <f t="shared" si="30"/>
        <v>No</v>
      </c>
      <c r="N123" t="str">
        <f t="shared" si="31"/>
        <v>no</v>
      </c>
    </row>
    <row r="124" spans="1:14" hidden="1" x14ac:dyDescent="0.35">
      <c r="A124" t="s">
        <v>165</v>
      </c>
      <c r="B124" t="s">
        <v>166</v>
      </c>
      <c r="C124">
        <v>42.373100000000001</v>
      </c>
      <c r="D124">
        <v>-72.529700000000005</v>
      </c>
      <c r="E124" t="s">
        <v>364</v>
      </c>
      <c r="F124">
        <v>40989</v>
      </c>
      <c r="G124">
        <f t="shared" si="28"/>
        <v>0.2715999999999994</v>
      </c>
      <c r="H124">
        <f t="shared" si="29"/>
        <v>6.0099999999991383E-2</v>
      </c>
      <c r="I124">
        <f t="shared" si="24"/>
        <v>30.147599999999933</v>
      </c>
      <c r="J124">
        <f t="shared" si="25"/>
        <v>4.9582499999992891</v>
      </c>
      <c r="K124">
        <f t="shared" si="26"/>
        <v>30.552610834795917</v>
      </c>
      <c r="L124" t="str">
        <f t="shared" si="27"/>
        <v>No</v>
      </c>
      <c r="M124" t="str">
        <f t="shared" si="30"/>
        <v>No</v>
      </c>
      <c r="N124" t="str">
        <f t="shared" si="31"/>
        <v>no</v>
      </c>
    </row>
    <row r="125" spans="1:14" hidden="1" x14ac:dyDescent="0.35">
      <c r="A125" t="s">
        <v>163</v>
      </c>
      <c r="B125" t="s">
        <v>143</v>
      </c>
      <c r="C125">
        <v>42.133299999999998</v>
      </c>
      <c r="D125">
        <v>-72.7667</v>
      </c>
      <c r="E125" t="s">
        <v>364</v>
      </c>
      <c r="F125">
        <v>40403</v>
      </c>
      <c r="G125">
        <f t="shared" si="28"/>
        <v>3.1799999999996942E-2</v>
      </c>
      <c r="H125">
        <f t="shared" si="29"/>
        <v>-0.17690000000000339</v>
      </c>
      <c r="I125">
        <f t="shared" si="24"/>
        <v>3.5297999999996605</v>
      </c>
      <c r="J125">
        <f t="shared" si="25"/>
        <v>-14.594250000000279</v>
      </c>
      <c r="K125">
        <f t="shared" si="26"/>
        <v>15.015046490187959</v>
      </c>
      <c r="L125" t="str">
        <f t="shared" si="27"/>
        <v>No</v>
      </c>
      <c r="M125" t="str">
        <f t="shared" si="30"/>
        <v>No</v>
      </c>
      <c r="N125" t="str">
        <f t="shared" si="31"/>
        <v>no</v>
      </c>
    </row>
    <row r="126" spans="1:14" x14ac:dyDescent="0.35">
      <c r="A126" t="s">
        <v>151</v>
      </c>
      <c r="B126" t="s">
        <v>143</v>
      </c>
      <c r="C126">
        <v>42.203800000000001</v>
      </c>
      <c r="D126">
        <v>-72.618899999999996</v>
      </c>
      <c r="E126" t="s">
        <v>364</v>
      </c>
      <c r="F126">
        <v>37838</v>
      </c>
      <c r="G126">
        <f t="shared" si="28"/>
        <v>0.10229999999999961</v>
      </c>
      <c r="H126">
        <f t="shared" si="29"/>
        <v>-2.9099999999999682E-2</v>
      </c>
      <c r="I126">
        <f t="shared" si="24"/>
        <v>11.355299999999957</v>
      </c>
      <c r="J126">
        <f t="shared" si="25"/>
        <v>-2.4007499999999737</v>
      </c>
      <c r="K126">
        <f t="shared" si="26"/>
        <v>11.606310294512157</v>
      </c>
      <c r="L126" t="str">
        <f t="shared" si="27"/>
        <v>Yes</v>
      </c>
      <c r="M126" t="str">
        <f t="shared" si="30"/>
        <v>No</v>
      </c>
      <c r="N126" t="str">
        <f t="shared" si="31"/>
        <v>no</v>
      </c>
    </row>
    <row r="127" spans="1:14" hidden="1" x14ac:dyDescent="0.35">
      <c r="A127" t="s">
        <v>177</v>
      </c>
      <c r="B127" t="s">
        <v>166</v>
      </c>
      <c r="C127">
        <v>42.326500000000003</v>
      </c>
      <c r="D127">
        <v>-72.654600000000002</v>
      </c>
      <c r="E127" t="s">
        <v>364</v>
      </c>
      <c r="F127">
        <v>31315</v>
      </c>
      <c r="G127">
        <f t="shared" si="28"/>
        <v>0.22500000000000142</v>
      </c>
      <c r="H127">
        <f t="shared" si="29"/>
        <v>-6.4800000000005298E-2</v>
      </c>
      <c r="I127">
        <f t="shared" si="24"/>
        <v>24.975000000000158</v>
      </c>
      <c r="J127">
        <f t="shared" si="25"/>
        <v>-5.3460000000004371</v>
      </c>
      <c r="K127">
        <f t="shared" si="26"/>
        <v>25.540758426483983</v>
      </c>
      <c r="L127" t="str">
        <f t="shared" si="27"/>
        <v>No</v>
      </c>
      <c r="M127" t="str">
        <f t="shared" si="30"/>
        <v>No</v>
      </c>
      <c r="N127" t="str">
        <f t="shared" si="31"/>
        <v>no</v>
      </c>
    </row>
    <row r="128" spans="1:14" x14ac:dyDescent="0.35">
      <c r="A128" t="s">
        <v>162</v>
      </c>
      <c r="B128" t="s">
        <v>143</v>
      </c>
      <c r="C128">
        <v>42.1096</v>
      </c>
      <c r="D128">
        <v>-72.631900000000002</v>
      </c>
      <c r="E128" t="s">
        <v>364</v>
      </c>
      <c r="F128">
        <v>29028</v>
      </c>
      <c r="G128">
        <f t="shared" si="28"/>
        <v>8.0999999999988859E-3</v>
      </c>
      <c r="H128">
        <f t="shared" si="29"/>
        <v>-4.2100000000004911E-2</v>
      </c>
      <c r="I128">
        <f t="shared" si="24"/>
        <v>0.89909999999987633</v>
      </c>
      <c r="J128">
        <f t="shared" si="25"/>
        <v>-3.4732500000004052</v>
      </c>
      <c r="K128">
        <f t="shared" si="26"/>
        <v>3.5877355494103229</v>
      </c>
      <c r="L128" t="str">
        <f t="shared" si="27"/>
        <v>Yes</v>
      </c>
      <c r="M128" t="str">
        <f t="shared" si="30"/>
        <v>Yes</v>
      </c>
      <c r="N128" t="str">
        <f t="shared" si="31"/>
        <v>Yes</v>
      </c>
    </row>
    <row r="129" spans="1:14" x14ac:dyDescent="0.35">
      <c r="A129" t="s">
        <v>142</v>
      </c>
      <c r="B129" t="s">
        <v>143</v>
      </c>
      <c r="C129">
        <v>42.066699999999997</v>
      </c>
      <c r="D129">
        <v>-72.633300000000006</v>
      </c>
      <c r="E129" t="s">
        <v>364</v>
      </c>
      <c r="F129">
        <v>28749</v>
      </c>
      <c r="G129">
        <f t="shared" si="28"/>
        <v>-3.4800000000004161E-2</v>
      </c>
      <c r="H129">
        <f t="shared" si="29"/>
        <v>-4.3500000000008754E-2</v>
      </c>
      <c r="I129">
        <f t="shared" si="24"/>
        <v>-3.8628000000004619</v>
      </c>
      <c r="J129">
        <f t="shared" si="25"/>
        <v>-3.5887500000007222</v>
      </c>
      <c r="K129">
        <f t="shared" si="26"/>
        <v>5.2726037592928172</v>
      </c>
      <c r="L129" t="str">
        <f t="shared" si="27"/>
        <v>Yes</v>
      </c>
      <c r="M129" t="str">
        <f t="shared" si="30"/>
        <v>No</v>
      </c>
      <c r="N129" t="str">
        <f t="shared" si="31"/>
        <v>Yes</v>
      </c>
    </row>
    <row r="130" spans="1:14" x14ac:dyDescent="0.35">
      <c r="A130" t="s">
        <v>153</v>
      </c>
      <c r="B130" t="s">
        <v>143</v>
      </c>
      <c r="C130">
        <v>42.116700000000002</v>
      </c>
      <c r="D130">
        <v>-72.466700000000003</v>
      </c>
      <c r="E130" t="s">
        <v>364</v>
      </c>
      <c r="F130">
        <v>21118</v>
      </c>
      <c r="G130">
        <f t="shared" si="28"/>
        <v>1.5200000000000102E-2</v>
      </c>
      <c r="H130">
        <f t="shared" si="29"/>
        <v>0.12309999999999377</v>
      </c>
      <c r="I130">
        <f t="shared" si="24"/>
        <v>1.6872000000000114</v>
      </c>
      <c r="J130">
        <f t="shared" si="25"/>
        <v>10.155749999999486</v>
      </c>
      <c r="K130">
        <f t="shared" si="26"/>
        <v>10.294945454080347</v>
      </c>
      <c r="L130" t="str">
        <f t="shared" si="27"/>
        <v>Yes</v>
      </c>
      <c r="M130" t="str">
        <f t="shared" si="30"/>
        <v>No</v>
      </c>
      <c r="N130" t="str">
        <f t="shared" si="31"/>
        <v>no</v>
      </c>
    </row>
    <row r="131" spans="1:14" hidden="1" x14ac:dyDescent="0.35">
      <c r="A131" t="s">
        <v>180</v>
      </c>
      <c r="B131" t="s">
        <v>166</v>
      </c>
      <c r="C131">
        <v>42.25</v>
      </c>
      <c r="D131">
        <v>-72.533299999999997</v>
      </c>
      <c r="E131" t="s">
        <v>364</v>
      </c>
      <c r="F131">
        <v>18031</v>
      </c>
      <c r="G131">
        <f t="shared" si="28"/>
        <v>0.14849999999999852</v>
      </c>
      <c r="H131">
        <f t="shared" si="29"/>
        <v>5.6499999999999773E-2</v>
      </c>
      <c r="I131">
        <f t="shared" si="24"/>
        <v>16.483499999999836</v>
      </c>
      <c r="J131">
        <f t="shared" si="25"/>
        <v>4.6612499999999812</v>
      </c>
      <c r="K131">
        <f t="shared" si="26"/>
        <v>17.129886859302207</v>
      </c>
      <c r="L131" t="str">
        <f t="shared" si="27"/>
        <v>No</v>
      </c>
      <c r="M131" t="str">
        <f t="shared" si="30"/>
        <v>No</v>
      </c>
      <c r="N131" t="str">
        <f t="shared" si="31"/>
        <v>no</v>
      </c>
    </row>
    <row r="132" spans="1:14" hidden="1" x14ac:dyDescent="0.35">
      <c r="A132" t="s">
        <v>125</v>
      </c>
      <c r="B132" t="s">
        <v>116</v>
      </c>
      <c r="C132">
        <v>42.596600000000002</v>
      </c>
      <c r="D132">
        <v>-72.596100000000007</v>
      </c>
      <c r="E132" t="s">
        <v>364</v>
      </c>
      <c r="F132">
        <v>17633</v>
      </c>
      <c r="G132">
        <f t="shared" si="28"/>
        <v>0.49510000000000076</v>
      </c>
      <c r="H132">
        <f t="shared" si="29"/>
        <v>-6.3000000000101863E-3</v>
      </c>
      <c r="I132">
        <f t="shared" si="24"/>
        <v>54.956100000000085</v>
      </c>
      <c r="J132">
        <f t="shared" si="25"/>
        <v>-0.51975000000084037</v>
      </c>
      <c r="K132">
        <f t="shared" si="26"/>
        <v>54.958557725549078</v>
      </c>
      <c r="L132" t="str">
        <f t="shared" si="27"/>
        <v>No</v>
      </c>
      <c r="M132" t="str">
        <f t="shared" si="30"/>
        <v>No</v>
      </c>
      <c r="N132" t="str">
        <f t="shared" si="31"/>
        <v>no</v>
      </c>
    </row>
    <row r="133" spans="1:14" x14ac:dyDescent="0.35">
      <c r="A133" t="s">
        <v>148</v>
      </c>
      <c r="B133" t="s">
        <v>143</v>
      </c>
      <c r="C133">
        <v>42.033299999999997</v>
      </c>
      <c r="D133">
        <v>-72.5</v>
      </c>
      <c r="E133" t="s">
        <v>364</v>
      </c>
      <c r="F133">
        <v>16515</v>
      </c>
      <c r="G133">
        <f t="shared" si="28"/>
        <v>-6.8200000000004479E-2</v>
      </c>
      <c r="H133">
        <f t="shared" si="29"/>
        <v>8.9799999999996771E-2</v>
      </c>
      <c r="I133">
        <f t="shared" si="24"/>
        <v>-7.5702000000004972</v>
      </c>
      <c r="J133">
        <f t="shared" si="25"/>
        <v>7.4084999999997336</v>
      </c>
      <c r="K133">
        <f t="shared" si="26"/>
        <v>10.592157489860297</v>
      </c>
      <c r="L133" t="str">
        <f t="shared" si="27"/>
        <v>Yes</v>
      </c>
      <c r="M133" t="str">
        <f t="shared" si="30"/>
        <v>No</v>
      </c>
      <c r="N133" t="str">
        <f t="shared" si="31"/>
        <v>no</v>
      </c>
    </row>
    <row r="134" spans="1:14" hidden="1" x14ac:dyDescent="0.35">
      <c r="A134" t="s">
        <v>170</v>
      </c>
      <c r="B134" t="s">
        <v>166</v>
      </c>
      <c r="C134">
        <v>42.2667</v>
      </c>
      <c r="D134">
        <v>-72.7</v>
      </c>
      <c r="E134" t="s">
        <v>364</v>
      </c>
      <c r="F134">
        <v>16103</v>
      </c>
      <c r="G134">
        <f t="shared" si="28"/>
        <v>0.16519999999999868</v>
      </c>
      <c r="H134">
        <f t="shared" si="29"/>
        <v>-0.11020000000000607</v>
      </c>
      <c r="I134">
        <f t="shared" si="24"/>
        <v>18.337199999999854</v>
      </c>
      <c r="J134">
        <f t="shared" si="25"/>
        <v>-9.0915000000005008</v>
      </c>
      <c r="K134">
        <f t="shared" si="26"/>
        <v>20.467248864710758</v>
      </c>
      <c r="L134" t="str">
        <f t="shared" si="27"/>
        <v>No</v>
      </c>
      <c r="M134" t="str">
        <f t="shared" si="30"/>
        <v>No</v>
      </c>
      <c r="N134" t="str">
        <f t="shared" si="31"/>
        <v>no</v>
      </c>
    </row>
    <row r="135" spans="1:14" x14ac:dyDescent="0.35">
      <c r="A135" t="s">
        <v>152</v>
      </c>
      <c r="B135" t="s">
        <v>143</v>
      </c>
      <c r="C135">
        <v>42.05</v>
      </c>
      <c r="D135">
        <v>-72.45</v>
      </c>
      <c r="E135" t="s">
        <v>364</v>
      </c>
      <c r="F135">
        <v>15712</v>
      </c>
      <c r="G135">
        <f t="shared" si="28"/>
        <v>-5.150000000000432E-2</v>
      </c>
      <c r="H135">
        <f t="shared" si="29"/>
        <v>0.13979999999999393</v>
      </c>
      <c r="I135">
        <f t="shared" si="24"/>
        <v>-5.7165000000004795</v>
      </c>
      <c r="J135">
        <f t="shared" si="25"/>
        <v>11.533499999999499</v>
      </c>
      <c r="K135">
        <f t="shared" si="26"/>
        <v>12.872450990390055</v>
      </c>
      <c r="L135" t="str">
        <f t="shared" si="27"/>
        <v>Yes</v>
      </c>
      <c r="M135" t="str">
        <f t="shared" si="30"/>
        <v>No</v>
      </c>
      <c r="N135" t="str">
        <f t="shared" si="31"/>
        <v>no</v>
      </c>
    </row>
    <row r="136" spans="1:14" hidden="1" x14ac:dyDescent="0.35">
      <c r="A136" t="s">
        <v>167</v>
      </c>
      <c r="B136" t="s">
        <v>166</v>
      </c>
      <c r="C136">
        <v>42.2667</v>
      </c>
      <c r="D136">
        <v>-72.400000000000006</v>
      </c>
      <c r="E136" t="s">
        <v>364</v>
      </c>
      <c r="F136">
        <v>15372</v>
      </c>
      <c r="G136">
        <f t="shared" si="28"/>
        <v>0.16519999999999868</v>
      </c>
      <c r="H136">
        <f t="shared" si="29"/>
        <v>0.18979999999999109</v>
      </c>
      <c r="I136">
        <f t="shared" si="24"/>
        <v>18.337199999999854</v>
      </c>
      <c r="J136">
        <f t="shared" si="25"/>
        <v>15.658499999999265</v>
      </c>
      <c r="K136">
        <f t="shared" si="26"/>
        <v>24.113098641401763</v>
      </c>
      <c r="L136" t="str">
        <f t="shared" si="27"/>
        <v>No</v>
      </c>
      <c r="M136" t="str">
        <f t="shared" si="30"/>
        <v>No</v>
      </c>
      <c r="N136" t="str">
        <f t="shared" si="31"/>
        <v>no</v>
      </c>
    </row>
    <row r="137" spans="1:14" x14ac:dyDescent="0.35">
      <c r="A137" t="s">
        <v>164</v>
      </c>
      <c r="B137" t="s">
        <v>143</v>
      </c>
      <c r="C137">
        <v>42.083300000000001</v>
      </c>
      <c r="D137">
        <v>-72.416700000000006</v>
      </c>
      <c r="E137" t="s">
        <v>364</v>
      </c>
      <c r="F137">
        <v>14663</v>
      </c>
      <c r="G137">
        <f t="shared" si="28"/>
        <v>-1.8200000000000216E-2</v>
      </c>
      <c r="H137">
        <f t="shared" si="29"/>
        <v>0.17309999999999093</v>
      </c>
      <c r="I137">
        <f t="shared" si="24"/>
        <v>-2.020200000000024</v>
      </c>
      <c r="J137">
        <f t="shared" si="25"/>
        <v>14.280749999999252</v>
      </c>
      <c r="K137">
        <f t="shared" si="26"/>
        <v>14.422934119050767</v>
      </c>
      <c r="L137" t="str">
        <f t="shared" si="27"/>
        <v>Yes</v>
      </c>
      <c r="M137" t="str">
        <f t="shared" si="30"/>
        <v>No</v>
      </c>
      <c r="N137" t="str">
        <f t="shared" si="31"/>
        <v>no</v>
      </c>
    </row>
    <row r="138" spans="1:14" hidden="1" x14ac:dyDescent="0.35">
      <c r="A138" t="s">
        <v>38</v>
      </c>
      <c r="B138" t="s">
        <v>20</v>
      </c>
      <c r="C138">
        <v>42.684800000000003</v>
      </c>
      <c r="D138">
        <v>-73.115499999999997</v>
      </c>
      <c r="E138" t="s">
        <v>364</v>
      </c>
      <c r="F138">
        <v>12492</v>
      </c>
      <c r="G138">
        <f t="shared" si="28"/>
        <v>0.58330000000000126</v>
      </c>
      <c r="H138">
        <f t="shared" si="29"/>
        <v>-0.5257000000000005</v>
      </c>
      <c r="I138">
        <f t="shared" si="24"/>
        <v>64.746300000000133</v>
      </c>
      <c r="J138">
        <f t="shared" si="25"/>
        <v>-43.370250000000041</v>
      </c>
      <c r="K138">
        <f t="shared" si="26"/>
        <v>77.929852744327192</v>
      </c>
      <c r="L138" t="str">
        <f t="shared" si="27"/>
        <v>No</v>
      </c>
      <c r="M138" t="str">
        <f t="shared" si="30"/>
        <v>No</v>
      </c>
      <c r="N138" t="str">
        <f t="shared" si="31"/>
        <v>no</v>
      </c>
    </row>
    <row r="139" spans="1:14" hidden="1" x14ac:dyDescent="0.35">
      <c r="A139" t="s">
        <v>156</v>
      </c>
      <c r="B139" t="s">
        <v>143</v>
      </c>
      <c r="C139">
        <v>42.166699999999999</v>
      </c>
      <c r="D139">
        <v>-72.333299999999994</v>
      </c>
      <c r="E139" t="s">
        <v>364</v>
      </c>
      <c r="F139">
        <v>12388</v>
      </c>
      <c r="G139">
        <f t="shared" si="28"/>
        <v>6.519999999999726E-2</v>
      </c>
      <c r="H139">
        <f t="shared" si="29"/>
        <v>0.25650000000000261</v>
      </c>
      <c r="I139">
        <f t="shared" si="24"/>
        <v>7.2371999999996959</v>
      </c>
      <c r="J139">
        <f t="shared" si="25"/>
        <v>21.161250000000216</v>
      </c>
      <c r="K139">
        <f t="shared" si="26"/>
        <v>22.364605192189391</v>
      </c>
      <c r="L139" t="str">
        <f t="shared" si="27"/>
        <v>No</v>
      </c>
      <c r="M139" t="str">
        <f t="shared" si="30"/>
        <v>No</v>
      </c>
      <c r="N139" t="str">
        <f t="shared" si="31"/>
        <v>no</v>
      </c>
    </row>
    <row r="140" spans="1:14" hidden="1" x14ac:dyDescent="0.35">
      <c r="A140" t="s">
        <v>182</v>
      </c>
      <c r="B140" t="s">
        <v>166</v>
      </c>
      <c r="C140">
        <v>42.2667</v>
      </c>
      <c r="D140">
        <v>-72.25</v>
      </c>
      <c r="E140" t="s">
        <v>364</v>
      </c>
      <c r="F140">
        <v>10142</v>
      </c>
      <c r="G140">
        <f t="shared" si="28"/>
        <v>0.16519999999999868</v>
      </c>
      <c r="H140">
        <f t="shared" si="29"/>
        <v>0.33979999999999677</v>
      </c>
      <c r="I140">
        <f t="shared" si="24"/>
        <v>18.337199999999854</v>
      </c>
      <c r="J140">
        <f t="shared" si="25"/>
        <v>28.033499999999734</v>
      </c>
      <c r="K140">
        <f t="shared" si="26"/>
        <v>33.498209296766589</v>
      </c>
      <c r="L140" t="str">
        <f t="shared" si="27"/>
        <v>No</v>
      </c>
      <c r="M140" t="str">
        <f t="shared" si="30"/>
        <v>No</v>
      </c>
      <c r="N140" t="str">
        <f t="shared" si="31"/>
        <v>no</v>
      </c>
    </row>
    <row r="141" spans="1:14" hidden="1" x14ac:dyDescent="0.35">
      <c r="A141" t="s">
        <v>158</v>
      </c>
      <c r="B141" t="s">
        <v>143</v>
      </c>
      <c r="C141">
        <v>42.0167</v>
      </c>
      <c r="D141">
        <v>-72.75</v>
      </c>
      <c r="E141" t="s">
        <v>364</v>
      </c>
      <c r="F141">
        <v>9277</v>
      </c>
      <c r="G141">
        <f t="shared" si="28"/>
        <v>-8.4800000000001319E-2</v>
      </c>
      <c r="H141">
        <f t="shared" si="29"/>
        <v>-0.16020000000000323</v>
      </c>
      <c r="I141">
        <f t="shared" si="24"/>
        <v>-9.4128000000001464</v>
      </c>
      <c r="J141">
        <f t="shared" si="25"/>
        <v>-13.216500000000266</v>
      </c>
      <c r="K141">
        <f t="shared" si="26"/>
        <v>16.22580278722781</v>
      </c>
      <c r="L141" t="str">
        <f t="shared" si="27"/>
        <v>No</v>
      </c>
      <c r="M141" t="str">
        <f t="shared" si="30"/>
        <v>No</v>
      </c>
      <c r="N141" t="str">
        <f t="shared" si="31"/>
        <v>no</v>
      </c>
    </row>
    <row r="142" spans="1:14" hidden="1" x14ac:dyDescent="0.35">
      <c r="A142" t="s">
        <v>50</v>
      </c>
      <c r="B142" t="s">
        <v>20</v>
      </c>
      <c r="C142">
        <v>42.714799999999997</v>
      </c>
      <c r="D142">
        <v>-73.203599999999994</v>
      </c>
      <c r="E142" t="s">
        <v>364</v>
      </c>
      <c r="F142">
        <v>9189</v>
      </c>
      <c r="G142">
        <f t="shared" si="28"/>
        <v>0.61329999999999529</v>
      </c>
      <c r="H142">
        <f t="shared" si="29"/>
        <v>-0.61379999999999768</v>
      </c>
      <c r="I142">
        <f t="shared" si="24"/>
        <v>68.076299999999478</v>
      </c>
      <c r="J142">
        <f t="shared" si="25"/>
        <v>-50.638499999999809</v>
      </c>
      <c r="K142">
        <f t="shared" si="26"/>
        <v>84.844801278215684</v>
      </c>
      <c r="L142" t="str">
        <f t="shared" si="27"/>
        <v>No</v>
      </c>
      <c r="M142" t="str">
        <f t="shared" si="30"/>
        <v>No</v>
      </c>
      <c r="N142" t="str">
        <f t="shared" si="31"/>
        <v>no</v>
      </c>
    </row>
    <row r="143" spans="1:14" hidden="1" x14ac:dyDescent="0.35">
      <c r="A143" t="s">
        <v>131</v>
      </c>
      <c r="B143" t="s">
        <v>116</v>
      </c>
      <c r="C143">
        <v>42.55</v>
      </c>
      <c r="D143">
        <v>-72.566699999999997</v>
      </c>
      <c r="E143" t="s">
        <v>364</v>
      </c>
      <c r="F143">
        <v>8437</v>
      </c>
      <c r="G143">
        <f t="shared" si="28"/>
        <v>0.44849999999999568</v>
      </c>
      <c r="H143">
        <f t="shared" si="29"/>
        <v>2.3099999999999454E-2</v>
      </c>
      <c r="I143">
        <f t="shared" si="24"/>
        <v>49.78349999999952</v>
      </c>
      <c r="J143">
        <f t="shared" si="25"/>
        <v>1.905749999999955</v>
      </c>
      <c r="K143">
        <f t="shared" si="26"/>
        <v>49.819963421428284</v>
      </c>
      <c r="L143" t="str">
        <f t="shared" si="27"/>
        <v>No</v>
      </c>
      <c r="M143" t="str">
        <f t="shared" si="30"/>
        <v>No</v>
      </c>
      <c r="N143" t="str">
        <f t="shared" si="31"/>
        <v>no</v>
      </c>
    </row>
    <row r="144" spans="1:14" hidden="1" x14ac:dyDescent="0.35">
      <c r="A144" t="s">
        <v>154</v>
      </c>
      <c r="B144" t="s">
        <v>143</v>
      </c>
      <c r="C144">
        <v>42.083300000000001</v>
      </c>
      <c r="D144">
        <v>-72.316699999999997</v>
      </c>
      <c r="E144" t="s">
        <v>364</v>
      </c>
      <c r="F144">
        <v>8164</v>
      </c>
      <c r="G144">
        <f t="shared" si="28"/>
        <v>-1.8200000000000216E-2</v>
      </c>
      <c r="H144">
        <f t="shared" si="29"/>
        <v>0.27309999999999945</v>
      </c>
      <c r="I144">
        <f t="shared" si="24"/>
        <v>-2.020200000000024</v>
      </c>
      <c r="J144">
        <f t="shared" si="25"/>
        <v>22.530749999999955</v>
      </c>
      <c r="K144">
        <f t="shared" si="26"/>
        <v>22.621138424104522</v>
      </c>
      <c r="L144" t="str">
        <f t="shared" si="27"/>
        <v>No</v>
      </c>
      <c r="M144" t="str">
        <f t="shared" si="30"/>
        <v>No</v>
      </c>
      <c r="N144" t="str">
        <f t="shared" si="31"/>
        <v>no</v>
      </c>
    </row>
    <row r="145" spans="1:14" hidden="1" x14ac:dyDescent="0.35">
      <c r="A145" t="s">
        <v>19</v>
      </c>
      <c r="B145" t="s">
        <v>20</v>
      </c>
      <c r="C145">
        <v>42.617800000000003</v>
      </c>
      <c r="D145">
        <v>-73.104799999999997</v>
      </c>
      <c r="E145" t="s">
        <v>364</v>
      </c>
      <c r="F145">
        <v>7992</v>
      </c>
      <c r="G145">
        <f t="shared" si="28"/>
        <v>0.51630000000000109</v>
      </c>
      <c r="H145">
        <f t="shared" si="29"/>
        <v>-0.51500000000000057</v>
      </c>
      <c r="I145">
        <f t="shared" si="24"/>
        <v>57.309300000000121</v>
      </c>
      <c r="J145">
        <f t="shared" si="25"/>
        <v>-42.487500000000047</v>
      </c>
      <c r="K145">
        <f t="shared" si="26"/>
        <v>71.341036737210501</v>
      </c>
      <c r="L145" t="str">
        <f t="shared" si="27"/>
        <v>No</v>
      </c>
      <c r="M145" t="str">
        <f t="shared" si="30"/>
        <v>No</v>
      </c>
      <c r="N145" t="str">
        <f t="shared" si="31"/>
        <v>no</v>
      </c>
    </row>
    <row r="146" spans="1:14" hidden="1" x14ac:dyDescent="0.35">
      <c r="A146" t="s">
        <v>134</v>
      </c>
      <c r="B146" t="s">
        <v>116</v>
      </c>
      <c r="C146">
        <v>42.45</v>
      </c>
      <c r="D146">
        <v>-72.316699999999997</v>
      </c>
      <c r="E146" t="s">
        <v>364</v>
      </c>
      <c r="F146">
        <v>7583</v>
      </c>
      <c r="G146">
        <f t="shared" si="28"/>
        <v>0.34850000000000136</v>
      </c>
      <c r="H146">
        <f t="shared" si="29"/>
        <v>0.27309999999999945</v>
      </c>
      <c r="I146">
        <f t="shared" si="24"/>
        <v>38.683500000000151</v>
      </c>
      <c r="J146">
        <f t="shared" si="25"/>
        <v>22.530749999999955</v>
      </c>
      <c r="K146">
        <f t="shared" si="26"/>
        <v>44.766593212042721</v>
      </c>
      <c r="L146" t="str">
        <f t="shared" si="27"/>
        <v>No</v>
      </c>
      <c r="M146" t="str">
        <f t="shared" si="30"/>
        <v>No</v>
      </c>
      <c r="N146" t="str">
        <f t="shared" si="31"/>
        <v>no</v>
      </c>
    </row>
    <row r="147" spans="1:14" hidden="1" x14ac:dyDescent="0.35">
      <c r="A147" t="s">
        <v>28</v>
      </c>
      <c r="B147" t="s">
        <v>20</v>
      </c>
      <c r="C147">
        <v>42.191200000000002</v>
      </c>
      <c r="D147">
        <v>-73.366100000000003</v>
      </c>
      <c r="E147" t="s">
        <v>364</v>
      </c>
      <c r="F147">
        <v>7245</v>
      </c>
      <c r="G147">
        <f t="shared" si="28"/>
        <v>8.9700000000000557E-2</v>
      </c>
      <c r="H147">
        <f t="shared" si="29"/>
        <v>-0.77630000000000621</v>
      </c>
      <c r="I147">
        <f t="shared" si="24"/>
        <v>9.9567000000000618</v>
      </c>
      <c r="J147">
        <f t="shared" si="25"/>
        <v>-64.044750000000505</v>
      </c>
      <c r="K147">
        <f t="shared" si="26"/>
        <v>64.814087029384012</v>
      </c>
      <c r="L147" t="str">
        <f t="shared" si="27"/>
        <v>No</v>
      </c>
      <c r="M147" t="str">
        <f t="shared" si="30"/>
        <v>No</v>
      </c>
      <c r="N147" t="str">
        <f t="shared" si="31"/>
        <v>no</v>
      </c>
    </row>
    <row r="148" spans="1:14" hidden="1" x14ac:dyDescent="0.35">
      <c r="A148" t="s">
        <v>25</v>
      </c>
      <c r="B148" t="s">
        <v>20</v>
      </c>
      <c r="C148">
        <v>42.466700000000003</v>
      </c>
      <c r="D148">
        <v>-73.25</v>
      </c>
      <c r="E148" t="s">
        <v>364</v>
      </c>
      <c r="F148">
        <v>6198</v>
      </c>
      <c r="G148">
        <f t="shared" si="28"/>
        <v>0.36520000000000152</v>
      </c>
      <c r="H148">
        <f t="shared" si="29"/>
        <v>-0.66020000000000323</v>
      </c>
      <c r="I148">
        <f t="shared" si="24"/>
        <v>40.537200000000169</v>
      </c>
      <c r="J148">
        <f t="shared" si="25"/>
        <v>-54.466500000000266</v>
      </c>
      <c r="K148">
        <f t="shared" si="26"/>
        <v>67.89598078008774</v>
      </c>
      <c r="L148" t="str">
        <f t="shared" si="27"/>
        <v>No</v>
      </c>
      <c r="M148" t="str">
        <f t="shared" si="30"/>
        <v>No</v>
      </c>
      <c r="N148" t="str">
        <f t="shared" si="31"/>
        <v>no</v>
      </c>
    </row>
    <row r="149" spans="1:14" hidden="1" x14ac:dyDescent="0.35">
      <c r="A149" t="s">
        <v>181</v>
      </c>
      <c r="B149" t="s">
        <v>166</v>
      </c>
      <c r="C149">
        <v>42.2</v>
      </c>
      <c r="D149">
        <v>-72.7333</v>
      </c>
      <c r="E149" t="s">
        <v>364</v>
      </c>
      <c r="F149">
        <v>6181</v>
      </c>
      <c r="G149">
        <f t="shared" si="28"/>
        <v>9.8500000000001364E-2</v>
      </c>
      <c r="H149">
        <f t="shared" si="29"/>
        <v>-0.14350000000000307</v>
      </c>
      <c r="I149">
        <f t="shared" si="24"/>
        <v>10.933500000000151</v>
      </c>
      <c r="J149">
        <f t="shared" si="25"/>
        <v>-11.838750000000253</v>
      </c>
      <c r="K149">
        <f t="shared" si="26"/>
        <v>16.115130276001782</v>
      </c>
      <c r="L149" t="str">
        <f t="shared" si="27"/>
        <v>No</v>
      </c>
      <c r="M149" t="str">
        <f t="shared" si="30"/>
        <v>No</v>
      </c>
      <c r="N149" t="str">
        <f t="shared" si="31"/>
        <v>no</v>
      </c>
    </row>
    <row r="150" spans="1:14" hidden="1" x14ac:dyDescent="0.35">
      <c r="A150" t="s">
        <v>172</v>
      </c>
      <c r="B150" t="s">
        <v>166</v>
      </c>
      <c r="C150">
        <v>42.25</v>
      </c>
      <c r="D150">
        <v>-72.5167</v>
      </c>
      <c r="E150" t="s">
        <v>364</v>
      </c>
      <c r="F150">
        <v>6064</v>
      </c>
      <c r="G150">
        <f t="shared" si="28"/>
        <v>0.14849999999999852</v>
      </c>
      <c r="H150">
        <f t="shared" si="29"/>
        <v>7.3099999999996612E-2</v>
      </c>
      <c r="I150">
        <f t="shared" si="24"/>
        <v>16.483499999999836</v>
      </c>
      <c r="J150">
        <f t="shared" si="25"/>
        <v>6.0307499999997205</v>
      </c>
      <c r="K150">
        <f t="shared" si="26"/>
        <v>17.552085853609857</v>
      </c>
      <c r="L150" t="str">
        <f t="shared" si="27"/>
        <v>No</v>
      </c>
      <c r="M150" t="str">
        <f t="shared" si="30"/>
        <v>No</v>
      </c>
      <c r="N150" t="str">
        <f t="shared" si="31"/>
        <v>no</v>
      </c>
    </row>
    <row r="151" spans="1:14" hidden="1" x14ac:dyDescent="0.35">
      <c r="A151" t="s">
        <v>32</v>
      </c>
      <c r="B151" t="s">
        <v>20</v>
      </c>
      <c r="C151">
        <v>42.307600000000001</v>
      </c>
      <c r="D151">
        <v>-73.243099999999998</v>
      </c>
      <c r="E151" t="s">
        <v>364</v>
      </c>
      <c r="F151">
        <v>5682</v>
      </c>
      <c r="G151">
        <f t="shared" si="28"/>
        <v>0.20609999999999928</v>
      </c>
      <c r="H151">
        <f t="shared" si="29"/>
        <v>-0.65330000000000155</v>
      </c>
      <c r="I151">
        <f t="shared" si="24"/>
        <v>22.87709999999992</v>
      </c>
      <c r="J151">
        <f t="shared" si="25"/>
        <v>-53.897250000000128</v>
      </c>
      <c r="K151">
        <f t="shared" si="26"/>
        <v>58.551475318496543</v>
      </c>
      <c r="L151" t="str">
        <f t="shared" si="27"/>
        <v>No</v>
      </c>
      <c r="M151" t="str">
        <f t="shared" si="30"/>
        <v>No</v>
      </c>
      <c r="N151" t="str">
        <f t="shared" si="31"/>
        <v>no</v>
      </c>
    </row>
    <row r="152" spans="1:14" hidden="1" x14ac:dyDescent="0.35">
      <c r="A152" t="s">
        <v>173</v>
      </c>
      <c r="B152" t="s">
        <v>166</v>
      </c>
      <c r="C152">
        <v>42.333300000000001</v>
      </c>
      <c r="D152">
        <v>-72.533299999999997</v>
      </c>
      <c r="E152" t="s">
        <v>364</v>
      </c>
      <c r="F152">
        <v>5284</v>
      </c>
      <c r="G152">
        <f t="shared" si="28"/>
        <v>0.23179999999999978</v>
      </c>
      <c r="H152">
        <f t="shared" si="29"/>
        <v>5.6499999999999773E-2</v>
      </c>
      <c r="I152">
        <f t="shared" si="24"/>
        <v>25.729799999999976</v>
      </c>
      <c r="J152">
        <f t="shared" si="25"/>
        <v>4.6612499999999812</v>
      </c>
      <c r="K152">
        <f t="shared" si="26"/>
        <v>26.148611045378654</v>
      </c>
      <c r="L152" t="str">
        <f t="shared" si="27"/>
        <v>No</v>
      </c>
      <c r="M152" t="str">
        <f t="shared" si="30"/>
        <v>No</v>
      </c>
      <c r="N152" t="str">
        <f t="shared" si="31"/>
        <v>no</v>
      </c>
    </row>
    <row r="153" spans="1:14" hidden="1" x14ac:dyDescent="0.35">
      <c r="A153" t="s">
        <v>122</v>
      </c>
      <c r="B153" t="s">
        <v>116</v>
      </c>
      <c r="C153">
        <v>42.583300000000001</v>
      </c>
      <c r="D153">
        <v>-72.616699999999994</v>
      </c>
      <c r="E153" t="s">
        <v>364</v>
      </c>
      <c r="F153">
        <v>5177</v>
      </c>
      <c r="G153">
        <f t="shared" si="28"/>
        <v>0.48179999999999978</v>
      </c>
      <c r="H153">
        <f t="shared" si="29"/>
        <v>-2.6899999999997704E-2</v>
      </c>
      <c r="I153">
        <f t="shared" ref="I153:I184" si="32">111*G153</f>
        <v>53.479799999999976</v>
      </c>
      <c r="J153">
        <f t="shared" ref="J153:J184" si="33">82.5*H153</f>
        <v>-2.2192499999998105</v>
      </c>
      <c r="K153">
        <f t="shared" ref="K153:K184" si="34">SQRT(I153^2+J153^2)</f>
        <v>53.525826276690921</v>
      </c>
      <c r="L153" t="str">
        <f t="shared" ref="L153:L184" si="35">IF(K153&lt;=15,"Yes","No")</f>
        <v>No</v>
      </c>
      <c r="M153" t="str">
        <f t="shared" si="30"/>
        <v>No</v>
      </c>
      <c r="N153" t="str">
        <f t="shared" si="31"/>
        <v>no</v>
      </c>
    </row>
    <row r="154" spans="1:14" hidden="1" x14ac:dyDescent="0.35">
      <c r="A154" t="s">
        <v>33</v>
      </c>
      <c r="B154" t="s">
        <v>20</v>
      </c>
      <c r="C154">
        <v>42.354799999999997</v>
      </c>
      <c r="D154">
        <v>-73.286699999999996</v>
      </c>
      <c r="E154" t="s">
        <v>364</v>
      </c>
      <c r="F154">
        <v>5072</v>
      </c>
      <c r="G154">
        <f t="shared" si="28"/>
        <v>0.25329999999999586</v>
      </c>
      <c r="H154">
        <f t="shared" si="29"/>
        <v>-0.69689999999999941</v>
      </c>
      <c r="I154">
        <f t="shared" si="32"/>
        <v>28.116299999999541</v>
      </c>
      <c r="J154">
        <f t="shared" si="33"/>
        <v>-57.494249999999951</v>
      </c>
      <c r="K154">
        <f t="shared" si="34"/>
        <v>64.000899280810643</v>
      </c>
      <c r="L154" t="str">
        <f t="shared" si="35"/>
        <v>No</v>
      </c>
      <c r="M154" t="str">
        <f t="shared" si="30"/>
        <v>No</v>
      </c>
      <c r="N154" t="str">
        <f t="shared" si="31"/>
        <v>no</v>
      </c>
    </row>
    <row r="155" spans="1:14" hidden="1" x14ac:dyDescent="0.35">
      <c r="A155" t="s">
        <v>143</v>
      </c>
      <c r="B155" t="s">
        <v>143</v>
      </c>
      <c r="C155">
        <v>42.05</v>
      </c>
      <c r="D155">
        <v>-72.349999999999994</v>
      </c>
      <c r="E155" t="s">
        <v>364</v>
      </c>
      <c r="F155">
        <v>4964</v>
      </c>
      <c r="G155">
        <f t="shared" si="28"/>
        <v>-5.150000000000432E-2</v>
      </c>
      <c r="H155">
        <f t="shared" si="29"/>
        <v>0.23980000000000246</v>
      </c>
      <c r="I155">
        <f t="shared" si="32"/>
        <v>-5.7165000000004795</v>
      </c>
      <c r="J155">
        <f t="shared" si="33"/>
        <v>19.783500000000203</v>
      </c>
      <c r="K155">
        <f t="shared" si="34"/>
        <v>20.592844497543641</v>
      </c>
      <c r="L155" t="str">
        <f t="shared" si="35"/>
        <v>No</v>
      </c>
      <c r="M155" t="str">
        <f t="shared" si="30"/>
        <v>No</v>
      </c>
      <c r="N155" t="str">
        <f t="shared" si="31"/>
        <v>no</v>
      </c>
    </row>
    <row r="156" spans="1:14" hidden="1" x14ac:dyDescent="0.35">
      <c r="A156" t="s">
        <v>145</v>
      </c>
      <c r="B156" t="s">
        <v>143</v>
      </c>
      <c r="C156">
        <v>42.183300000000003</v>
      </c>
      <c r="D156">
        <v>-72.166700000000006</v>
      </c>
      <c r="E156" t="s">
        <v>364</v>
      </c>
      <c r="F156">
        <v>3733</v>
      </c>
      <c r="G156">
        <f t="shared" si="28"/>
        <v>8.1800000000001205E-2</v>
      </c>
      <c r="H156">
        <f t="shared" si="29"/>
        <v>0.42309999999999093</v>
      </c>
      <c r="I156">
        <f t="shared" si="32"/>
        <v>9.0798000000001338</v>
      </c>
      <c r="J156">
        <f t="shared" si="33"/>
        <v>34.905749999999252</v>
      </c>
      <c r="K156">
        <f t="shared" si="34"/>
        <v>36.067355754233638</v>
      </c>
      <c r="L156" t="str">
        <f t="shared" si="35"/>
        <v>No</v>
      </c>
      <c r="M156" t="str">
        <f t="shared" si="30"/>
        <v>No</v>
      </c>
      <c r="N156" t="str">
        <f t="shared" si="31"/>
        <v>no</v>
      </c>
    </row>
    <row r="157" spans="1:14" hidden="1" x14ac:dyDescent="0.35">
      <c r="A157" t="s">
        <v>138</v>
      </c>
      <c r="B157" t="s">
        <v>116</v>
      </c>
      <c r="C157">
        <v>42.45</v>
      </c>
      <c r="D157">
        <v>-72.5</v>
      </c>
      <c r="E157" t="s">
        <v>364</v>
      </c>
      <c r="F157">
        <v>3628</v>
      </c>
      <c r="G157">
        <f t="shared" si="28"/>
        <v>0.34850000000000136</v>
      </c>
      <c r="H157">
        <f t="shared" si="29"/>
        <v>8.9799999999996771E-2</v>
      </c>
      <c r="I157">
        <f t="shared" si="32"/>
        <v>38.683500000000151</v>
      </c>
      <c r="J157">
        <f t="shared" si="33"/>
        <v>7.4084999999997336</v>
      </c>
      <c r="K157">
        <f t="shared" si="34"/>
        <v>39.386533796464086</v>
      </c>
      <c r="L157" t="str">
        <f t="shared" si="35"/>
        <v>No</v>
      </c>
      <c r="M157" t="str">
        <f t="shared" si="30"/>
        <v>No</v>
      </c>
      <c r="N157" t="str">
        <f t="shared" si="31"/>
        <v>no</v>
      </c>
    </row>
    <row r="158" spans="1:14" hidden="1" x14ac:dyDescent="0.35">
      <c r="A158" t="s">
        <v>45</v>
      </c>
      <c r="B158" t="s">
        <v>20</v>
      </c>
      <c r="C158">
        <v>42.101500000000001</v>
      </c>
      <c r="D158">
        <v>-73.366699999999994</v>
      </c>
      <c r="E158" t="s">
        <v>364</v>
      </c>
      <c r="F158">
        <v>3324</v>
      </c>
      <c r="G158">
        <f t="shared" si="28"/>
        <v>0</v>
      </c>
      <c r="H158">
        <f t="shared" si="29"/>
        <v>-0.7768999999999977</v>
      </c>
      <c r="I158">
        <f t="shared" si="32"/>
        <v>0</v>
      </c>
      <c r="J158">
        <f t="shared" si="33"/>
        <v>-64.094249999999818</v>
      </c>
      <c r="K158">
        <f t="shared" si="34"/>
        <v>64.094249999999818</v>
      </c>
      <c r="L158" t="str">
        <f t="shared" si="35"/>
        <v>No</v>
      </c>
      <c r="M158" t="str">
        <f t="shared" si="30"/>
        <v>No</v>
      </c>
      <c r="N158" t="str">
        <f t="shared" si="31"/>
        <v>no</v>
      </c>
    </row>
    <row r="159" spans="1:14" hidden="1" x14ac:dyDescent="0.35">
      <c r="A159" t="s">
        <v>174</v>
      </c>
      <c r="B159" t="s">
        <v>166</v>
      </c>
      <c r="C159">
        <v>42.383299999999998</v>
      </c>
      <c r="D159">
        <v>-72.55</v>
      </c>
      <c r="E159" t="s">
        <v>364</v>
      </c>
      <c r="F159">
        <v>3321</v>
      </c>
      <c r="G159">
        <f t="shared" si="28"/>
        <v>0.28179999999999694</v>
      </c>
      <c r="H159">
        <f t="shared" si="29"/>
        <v>3.9799999999999613E-2</v>
      </c>
      <c r="I159">
        <f t="shared" si="32"/>
        <v>31.279799999999661</v>
      </c>
      <c r="J159">
        <f t="shared" si="33"/>
        <v>3.2834999999999681</v>
      </c>
      <c r="K159">
        <f t="shared" si="34"/>
        <v>31.451665461307108</v>
      </c>
      <c r="L159" t="str">
        <f t="shared" si="35"/>
        <v>No</v>
      </c>
      <c r="M159" t="str">
        <f t="shared" si="30"/>
        <v>No</v>
      </c>
      <c r="N159" t="str">
        <f t="shared" si="31"/>
        <v>no</v>
      </c>
    </row>
    <row r="160" spans="1:14" hidden="1" x14ac:dyDescent="0.35">
      <c r="A160" t="s">
        <v>23</v>
      </c>
      <c r="B160" t="s">
        <v>20</v>
      </c>
      <c r="C160">
        <v>42.566699999999997</v>
      </c>
      <c r="D160">
        <v>-73.3</v>
      </c>
      <c r="E160" t="s">
        <v>364</v>
      </c>
      <c r="F160">
        <v>3190</v>
      </c>
      <c r="G160">
        <f t="shared" si="28"/>
        <v>0.46519999999999584</v>
      </c>
      <c r="H160">
        <f t="shared" si="29"/>
        <v>-0.71020000000000039</v>
      </c>
      <c r="I160">
        <f t="shared" si="32"/>
        <v>51.637199999999538</v>
      </c>
      <c r="J160">
        <f t="shared" si="33"/>
        <v>-58.591500000000032</v>
      </c>
      <c r="K160">
        <f t="shared" si="34"/>
        <v>78.098426975771773</v>
      </c>
      <c r="L160" t="str">
        <f t="shared" si="35"/>
        <v>No</v>
      </c>
      <c r="M160" t="str">
        <f t="shared" si="30"/>
        <v>No</v>
      </c>
      <c r="N160" t="str">
        <f t="shared" si="31"/>
        <v>no</v>
      </c>
    </row>
    <row r="161" spans="1:14" hidden="1" x14ac:dyDescent="0.35">
      <c r="A161" t="s">
        <v>31</v>
      </c>
      <c r="B161" t="s">
        <v>20</v>
      </c>
      <c r="C161">
        <v>42.566699999999997</v>
      </c>
      <c r="D161">
        <v>-73.2333</v>
      </c>
      <c r="E161" t="s">
        <v>364</v>
      </c>
      <c r="F161">
        <v>3004</v>
      </c>
      <c r="G161">
        <f t="shared" si="28"/>
        <v>0.46519999999999584</v>
      </c>
      <c r="H161">
        <f t="shared" si="29"/>
        <v>-0.64350000000000307</v>
      </c>
      <c r="I161">
        <f t="shared" si="32"/>
        <v>51.637199999999538</v>
      </c>
      <c r="J161">
        <f t="shared" si="33"/>
        <v>-53.088750000000253</v>
      </c>
      <c r="K161">
        <f t="shared" si="34"/>
        <v>74.059542264332677</v>
      </c>
      <c r="L161" t="str">
        <f t="shared" si="35"/>
        <v>No</v>
      </c>
      <c r="M161" t="str">
        <f t="shared" si="30"/>
        <v>No</v>
      </c>
      <c r="N161" t="str">
        <f t="shared" si="31"/>
        <v>no</v>
      </c>
    </row>
    <row r="162" spans="1:14" hidden="1" x14ac:dyDescent="0.35">
      <c r="A162" t="s">
        <v>133</v>
      </c>
      <c r="B162" t="s">
        <v>116</v>
      </c>
      <c r="C162">
        <v>42.683300000000003</v>
      </c>
      <c r="D162">
        <v>-72.433300000000003</v>
      </c>
      <c r="E162" t="s">
        <v>364</v>
      </c>
      <c r="F162">
        <v>2880</v>
      </c>
      <c r="G162">
        <f t="shared" si="28"/>
        <v>0.58180000000000121</v>
      </c>
      <c r="H162">
        <f t="shared" si="29"/>
        <v>0.15649999999999409</v>
      </c>
      <c r="I162">
        <f t="shared" si="32"/>
        <v>64.579800000000134</v>
      </c>
      <c r="J162">
        <f t="shared" si="33"/>
        <v>12.911249999999512</v>
      </c>
      <c r="K162">
        <f t="shared" si="34"/>
        <v>65.857808531733767</v>
      </c>
      <c r="L162" t="str">
        <f t="shared" si="35"/>
        <v>No</v>
      </c>
      <c r="M162" t="str">
        <f t="shared" si="30"/>
        <v>No</v>
      </c>
      <c r="N162" t="str">
        <f t="shared" si="31"/>
        <v>no</v>
      </c>
    </row>
    <row r="163" spans="1:14" hidden="1" x14ac:dyDescent="0.35">
      <c r="A163" t="s">
        <v>150</v>
      </c>
      <c r="B163" t="s">
        <v>143</v>
      </c>
      <c r="C163">
        <v>42.083300000000001</v>
      </c>
      <c r="D163">
        <v>-72.2333</v>
      </c>
      <c r="E163" t="s">
        <v>364</v>
      </c>
      <c r="F163">
        <v>2581</v>
      </c>
      <c r="G163">
        <f t="shared" si="28"/>
        <v>-1.8200000000000216E-2</v>
      </c>
      <c r="H163">
        <f t="shared" si="29"/>
        <v>0.35649999999999693</v>
      </c>
      <c r="I163">
        <f t="shared" si="32"/>
        <v>-2.020200000000024</v>
      </c>
      <c r="J163">
        <f t="shared" si="33"/>
        <v>29.411249999999747</v>
      </c>
      <c r="K163">
        <f t="shared" si="34"/>
        <v>29.480550106849858</v>
      </c>
      <c r="L163" t="str">
        <f t="shared" si="35"/>
        <v>No</v>
      </c>
      <c r="M163" t="str">
        <f t="shared" si="30"/>
        <v>No</v>
      </c>
      <c r="N163" t="str">
        <f t="shared" si="31"/>
        <v>no</v>
      </c>
    </row>
    <row r="164" spans="1:14" hidden="1" x14ac:dyDescent="0.35">
      <c r="A164" t="s">
        <v>184</v>
      </c>
      <c r="B164" t="s">
        <v>166</v>
      </c>
      <c r="C164">
        <v>42.4</v>
      </c>
      <c r="D164">
        <v>-72.716700000000003</v>
      </c>
      <c r="E164" t="s">
        <v>364</v>
      </c>
      <c r="F164">
        <v>2475</v>
      </c>
      <c r="G164">
        <f t="shared" si="28"/>
        <v>0.2984999999999971</v>
      </c>
      <c r="H164">
        <f t="shared" si="29"/>
        <v>-0.12690000000000623</v>
      </c>
      <c r="I164">
        <f t="shared" si="32"/>
        <v>33.133499999999678</v>
      </c>
      <c r="J164">
        <f t="shared" si="33"/>
        <v>-10.469250000000514</v>
      </c>
      <c r="K164">
        <f t="shared" si="34"/>
        <v>34.74815128625535</v>
      </c>
      <c r="L164" t="str">
        <f t="shared" si="35"/>
        <v>No</v>
      </c>
      <c r="M164" t="str">
        <f t="shared" si="30"/>
        <v>No</v>
      </c>
      <c r="N164" t="str">
        <f t="shared" si="31"/>
        <v>no</v>
      </c>
    </row>
    <row r="165" spans="1:14" hidden="1" x14ac:dyDescent="0.35">
      <c r="A165" t="s">
        <v>117</v>
      </c>
      <c r="B165" t="s">
        <v>116</v>
      </c>
      <c r="C165">
        <v>42.65</v>
      </c>
      <c r="D165">
        <v>-72.583299999999994</v>
      </c>
      <c r="E165" t="s">
        <v>364</v>
      </c>
      <c r="F165">
        <v>2109</v>
      </c>
      <c r="G165">
        <f t="shared" si="28"/>
        <v>0.5484999999999971</v>
      </c>
      <c r="H165">
        <f t="shared" si="29"/>
        <v>6.5000000000026148E-3</v>
      </c>
      <c r="I165">
        <f t="shared" si="32"/>
        <v>60.883499999999678</v>
      </c>
      <c r="J165">
        <f t="shared" si="33"/>
        <v>0.53625000000021572</v>
      </c>
      <c r="K165">
        <f t="shared" si="34"/>
        <v>60.885861546934365</v>
      </c>
      <c r="L165" t="str">
        <f t="shared" si="35"/>
        <v>No</v>
      </c>
      <c r="M165" t="str">
        <f t="shared" si="30"/>
        <v>No</v>
      </c>
      <c r="N165" t="str">
        <f t="shared" si="31"/>
        <v>no</v>
      </c>
    </row>
    <row r="166" spans="1:14" hidden="1" x14ac:dyDescent="0.35">
      <c r="A166" t="s">
        <v>175</v>
      </c>
      <c r="B166" t="s">
        <v>166</v>
      </c>
      <c r="C166">
        <v>42.2667</v>
      </c>
      <c r="D166">
        <v>-72.933300000000003</v>
      </c>
      <c r="E166" t="s">
        <v>364</v>
      </c>
      <c r="F166">
        <v>2071</v>
      </c>
      <c r="G166">
        <f t="shared" si="28"/>
        <v>0.16519999999999868</v>
      </c>
      <c r="H166">
        <f t="shared" si="29"/>
        <v>-0.34350000000000591</v>
      </c>
      <c r="I166">
        <f t="shared" si="32"/>
        <v>18.337199999999854</v>
      </c>
      <c r="J166">
        <f t="shared" si="33"/>
        <v>-28.338750000000488</v>
      </c>
      <c r="K166">
        <f t="shared" si="34"/>
        <v>33.754076130187926</v>
      </c>
      <c r="L166" t="str">
        <f t="shared" si="35"/>
        <v>No</v>
      </c>
      <c r="M166" t="str">
        <f t="shared" si="30"/>
        <v>No</v>
      </c>
      <c r="N166" t="str">
        <f t="shared" si="31"/>
        <v>no</v>
      </c>
    </row>
    <row r="167" spans="1:14" hidden="1" x14ac:dyDescent="0.35">
      <c r="A167" t="s">
        <v>46</v>
      </c>
      <c r="B167" t="s">
        <v>20</v>
      </c>
      <c r="C167">
        <v>42.311900000000001</v>
      </c>
      <c r="D167">
        <v>-73.326700000000002</v>
      </c>
      <c r="E167" t="s">
        <v>364</v>
      </c>
      <c r="F167">
        <v>1986</v>
      </c>
      <c r="G167">
        <f t="shared" si="28"/>
        <v>0.21039999999999992</v>
      </c>
      <c r="H167">
        <f t="shared" si="29"/>
        <v>-0.73690000000000566</v>
      </c>
      <c r="I167">
        <f t="shared" si="32"/>
        <v>23.354399999999991</v>
      </c>
      <c r="J167">
        <f t="shared" si="33"/>
        <v>-60.794250000000467</v>
      </c>
      <c r="K167">
        <f t="shared" si="34"/>
        <v>65.125792374623416</v>
      </c>
      <c r="L167" t="str">
        <f t="shared" si="35"/>
        <v>No</v>
      </c>
      <c r="M167" t="str">
        <f t="shared" si="30"/>
        <v>No</v>
      </c>
      <c r="N167" t="str">
        <f t="shared" si="31"/>
        <v>no</v>
      </c>
    </row>
    <row r="168" spans="1:14" hidden="1" x14ac:dyDescent="0.35">
      <c r="A168" t="s">
        <v>22</v>
      </c>
      <c r="B168" t="s">
        <v>20</v>
      </c>
      <c r="C168">
        <v>42.366700000000002</v>
      </c>
      <c r="D168">
        <v>-73.333299999999994</v>
      </c>
      <c r="E168" t="s">
        <v>364</v>
      </c>
      <c r="F168">
        <v>1922</v>
      </c>
      <c r="G168">
        <f t="shared" si="28"/>
        <v>0.2652000000000001</v>
      </c>
      <c r="H168">
        <f t="shared" si="29"/>
        <v>-0.74349999999999739</v>
      </c>
      <c r="I168">
        <f t="shared" si="32"/>
        <v>29.437200000000011</v>
      </c>
      <c r="J168">
        <f t="shared" si="33"/>
        <v>-61.338749999999784</v>
      </c>
      <c r="K168">
        <f t="shared" si="34"/>
        <v>68.036688598156175</v>
      </c>
      <c r="L168" t="str">
        <f t="shared" si="35"/>
        <v>No</v>
      </c>
      <c r="M168" t="str">
        <f t="shared" si="30"/>
        <v>No</v>
      </c>
      <c r="N168" t="str">
        <f t="shared" si="31"/>
        <v>no</v>
      </c>
    </row>
    <row r="169" spans="1:14" hidden="1" x14ac:dyDescent="0.35">
      <c r="A169" t="s">
        <v>30</v>
      </c>
      <c r="B169" t="s">
        <v>20</v>
      </c>
      <c r="C169">
        <v>42.45</v>
      </c>
      <c r="D169">
        <v>-73.183300000000003</v>
      </c>
      <c r="E169" t="s">
        <v>364</v>
      </c>
      <c r="F169">
        <v>1890</v>
      </c>
      <c r="G169">
        <f t="shared" si="28"/>
        <v>0.34850000000000136</v>
      </c>
      <c r="H169">
        <f t="shared" si="29"/>
        <v>-0.59350000000000591</v>
      </c>
      <c r="I169">
        <f t="shared" si="32"/>
        <v>38.683500000000151</v>
      </c>
      <c r="J169">
        <f t="shared" si="33"/>
        <v>-48.963750000000488</v>
      </c>
      <c r="K169">
        <f t="shared" si="34"/>
        <v>62.40081719266631</v>
      </c>
      <c r="L169" t="str">
        <f t="shared" si="35"/>
        <v>No</v>
      </c>
      <c r="M169" t="str">
        <f t="shared" si="30"/>
        <v>No</v>
      </c>
      <c r="N169" t="str">
        <f t="shared" si="31"/>
        <v>no</v>
      </c>
    </row>
    <row r="170" spans="1:14" hidden="1" x14ac:dyDescent="0.35">
      <c r="A170" t="s">
        <v>136</v>
      </c>
      <c r="B170" t="s">
        <v>116</v>
      </c>
      <c r="C170">
        <v>42.583300000000001</v>
      </c>
      <c r="D170">
        <v>-72.7</v>
      </c>
      <c r="E170" t="s">
        <v>364</v>
      </c>
      <c r="F170">
        <v>1874</v>
      </c>
      <c r="G170">
        <f t="shared" si="28"/>
        <v>0.48179999999999978</v>
      </c>
      <c r="H170">
        <f t="shared" si="29"/>
        <v>-0.11020000000000607</v>
      </c>
      <c r="I170">
        <f t="shared" si="32"/>
        <v>53.479799999999976</v>
      </c>
      <c r="J170">
        <f t="shared" si="33"/>
        <v>-9.0915000000005008</v>
      </c>
      <c r="K170">
        <f t="shared" si="34"/>
        <v>54.24706794187135</v>
      </c>
      <c r="L170" t="str">
        <f t="shared" si="35"/>
        <v>No</v>
      </c>
      <c r="M170" t="str">
        <f t="shared" si="30"/>
        <v>No</v>
      </c>
      <c r="N170" t="str">
        <f t="shared" si="31"/>
        <v>no</v>
      </c>
    </row>
    <row r="171" spans="1:14" hidden="1" x14ac:dyDescent="0.35">
      <c r="A171" t="s">
        <v>128</v>
      </c>
      <c r="B171" t="s">
        <v>116</v>
      </c>
      <c r="C171">
        <v>42.45</v>
      </c>
      <c r="D171">
        <v>-72.683300000000003</v>
      </c>
      <c r="E171" t="s">
        <v>364</v>
      </c>
      <c r="F171">
        <v>1863</v>
      </c>
      <c r="G171">
        <f t="shared" si="28"/>
        <v>0.34850000000000136</v>
      </c>
      <c r="H171">
        <f t="shared" si="29"/>
        <v>-9.3500000000005912E-2</v>
      </c>
      <c r="I171">
        <f t="shared" si="32"/>
        <v>38.683500000000151</v>
      </c>
      <c r="J171">
        <f t="shared" si="33"/>
        <v>-7.7137500000004877</v>
      </c>
      <c r="K171">
        <f t="shared" si="34"/>
        <v>39.445089825129301</v>
      </c>
      <c r="L171" t="str">
        <f t="shared" si="35"/>
        <v>No</v>
      </c>
      <c r="M171" t="str">
        <f t="shared" si="30"/>
        <v>No</v>
      </c>
      <c r="N171" t="str">
        <f t="shared" si="31"/>
        <v>no</v>
      </c>
    </row>
    <row r="172" spans="1:14" hidden="1" x14ac:dyDescent="0.35">
      <c r="A172" t="s">
        <v>161</v>
      </c>
      <c r="B172" t="s">
        <v>143</v>
      </c>
      <c r="C172">
        <v>42.15</v>
      </c>
      <c r="D172">
        <v>-72.05</v>
      </c>
      <c r="E172" t="s">
        <v>364</v>
      </c>
      <c r="F172">
        <v>1828</v>
      </c>
      <c r="G172">
        <f t="shared" si="28"/>
        <v>4.8499999999997101E-2</v>
      </c>
      <c r="H172">
        <f t="shared" si="29"/>
        <v>0.53979999999999961</v>
      </c>
      <c r="I172">
        <f t="shared" si="32"/>
        <v>5.3834999999996782</v>
      </c>
      <c r="J172">
        <f t="shared" si="33"/>
        <v>44.533499999999968</v>
      </c>
      <c r="K172">
        <f t="shared" si="34"/>
        <v>44.85771610882562</v>
      </c>
      <c r="L172" t="str">
        <f t="shared" si="35"/>
        <v>No</v>
      </c>
      <c r="M172" t="str">
        <f t="shared" si="30"/>
        <v>No</v>
      </c>
      <c r="N172" t="str">
        <f t="shared" si="31"/>
        <v>no</v>
      </c>
    </row>
    <row r="173" spans="1:14" hidden="1" x14ac:dyDescent="0.35">
      <c r="A173" t="s">
        <v>118</v>
      </c>
      <c r="B173" t="s">
        <v>116</v>
      </c>
      <c r="C173">
        <v>42.6</v>
      </c>
      <c r="D173">
        <v>-72.7</v>
      </c>
      <c r="E173" t="s">
        <v>364</v>
      </c>
      <c r="F173">
        <v>1818</v>
      </c>
      <c r="G173">
        <f t="shared" si="28"/>
        <v>0.49849999999999994</v>
      </c>
      <c r="H173">
        <f t="shared" si="29"/>
        <v>-0.11020000000000607</v>
      </c>
      <c r="I173">
        <f t="shared" si="32"/>
        <v>55.333499999999994</v>
      </c>
      <c r="J173">
        <f t="shared" si="33"/>
        <v>-9.0915000000005008</v>
      </c>
      <c r="K173">
        <f t="shared" si="34"/>
        <v>56.075409891502424</v>
      </c>
      <c r="L173" t="str">
        <f t="shared" si="35"/>
        <v>No</v>
      </c>
      <c r="M173" t="str">
        <f t="shared" si="30"/>
        <v>No</v>
      </c>
      <c r="N173" t="str">
        <f t="shared" si="31"/>
        <v>no</v>
      </c>
    </row>
    <row r="174" spans="1:14" hidden="1" x14ac:dyDescent="0.35">
      <c r="A174" t="s">
        <v>121</v>
      </c>
      <c r="B174" t="s">
        <v>116</v>
      </c>
      <c r="C174">
        <v>42.533299999999997</v>
      </c>
      <c r="D174">
        <v>-72.849999999999994</v>
      </c>
      <c r="E174" t="s">
        <v>364</v>
      </c>
      <c r="F174">
        <v>1754</v>
      </c>
      <c r="G174">
        <f t="shared" si="28"/>
        <v>0.43179999999999552</v>
      </c>
      <c r="H174">
        <f t="shared" si="29"/>
        <v>-0.26019999999999754</v>
      </c>
      <c r="I174">
        <f t="shared" si="32"/>
        <v>47.929799999999503</v>
      </c>
      <c r="J174">
        <f t="shared" si="33"/>
        <v>-21.466499999999797</v>
      </c>
      <c r="K174">
        <f t="shared" si="34"/>
        <v>52.517390931861264</v>
      </c>
      <c r="L174" t="str">
        <f t="shared" si="35"/>
        <v>No</v>
      </c>
      <c r="M174" t="str">
        <f t="shared" si="30"/>
        <v>No</v>
      </c>
      <c r="N174" t="str">
        <f t="shared" si="31"/>
        <v>no</v>
      </c>
    </row>
    <row r="175" spans="1:14" hidden="1" x14ac:dyDescent="0.35">
      <c r="A175" t="s">
        <v>137</v>
      </c>
      <c r="B175" t="s">
        <v>116</v>
      </c>
      <c r="C175">
        <v>42.383299999999998</v>
      </c>
      <c r="D175">
        <v>-72.333299999999994</v>
      </c>
      <c r="E175" t="s">
        <v>364</v>
      </c>
      <c r="F175">
        <v>1717</v>
      </c>
      <c r="G175">
        <f t="shared" si="28"/>
        <v>0.28179999999999694</v>
      </c>
      <c r="H175">
        <f t="shared" si="29"/>
        <v>0.25650000000000261</v>
      </c>
      <c r="I175">
        <f t="shared" si="32"/>
        <v>31.279799999999661</v>
      </c>
      <c r="J175">
        <f t="shared" si="33"/>
        <v>21.161250000000216</v>
      </c>
      <c r="K175">
        <f t="shared" si="34"/>
        <v>37.765386130721446</v>
      </c>
      <c r="L175" t="str">
        <f t="shared" si="35"/>
        <v>No</v>
      </c>
      <c r="M175" t="str">
        <f t="shared" si="30"/>
        <v>No</v>
      </c>
      <c r="N175" t="str">
        <f t="shared" si="31"/>
        <v>no</v>
      </c>
    </row>
    <row r="176" spans="1:14" hidden="1" x14ac:dyDescent="0.35">
      <c r="A176" t="s">
        <v>115</v>
      </c>
      <c r="B176" t="s">
        <v>116</v>
      </c>
      <c r="C176">
        <v>42.566699999999997</v>
      </c>
      <c r="D176">
        <v>-72.849999999999994</v>
      </c>
      <c r="E176" t="s">
        <v>364</v>
      </c>
      <c r="F176">
        <v>1685</v>
      </c>
      <c r="G176">
        <f t="shared" si="28"/>
        <v>0.46519999999999584</v>
      </c>
      <c r="H176">
        <f t="shared" si="29"/>
        <v>-0.26019999999999754</v>
      </c>
      <c r="I176">
        <f t="shared" si="32"/>
        <v>51.637199999999538</v>
      </c>
      <c r="J176">
        <f t="shared" si="33"/>
        <v>-21.466499999999797</v>
      </c>
      <c r="K176">
        <f t="shared" si="34"/>
        <v>55.921472138078983</v>
      </c>
      <c r="L176" t="str">
        <f t="shared" si="35"/>
        <v>No</v>
      </c>
      <c r="M176" t="str">
        <f t="shared" si="30"/>
        <v>No</v>
      </c>
      <c r="N176" t="str">
        <f t="shared" si="31"/>
        <v>no</v>
      </c>
    </row>
    <row r="177" spans="1:14" hidden="1" x14ac:dyDescent="0.35">
      <c r="A177" t="s">
        <v>123</v>
      </c>
      <c r="B177" t="s">
        <v>116</v>
      </c>
      <c r="C177">
        <v>42.616700000000002</v>
      </c>
      <c r="D177">
        <v>-72.4833</v>
      </c>
      <c r="E177" t="s">
        <v>364</v>
      </c>
      <c r="F177">
        <v>1661</v>
      </c>
      <c r="G177">
        <f t="shared" si="28"/>
        <v>0.5152000000000001</v>
      </c>
      <c r="H177">
        <f t="shared" si="29"/>
        <v>0.10649999999999693</v>
      </c>
      <c r="I177">
        <f t="shared" si="32"/>
        <v>57.187200000000011</v>
      </c>
      <c r="J177">
        <f t="shared" si="33"/>
        <v>8.7862499999997468</v>
      </c>
      <c r="K177">
        <f t="shared" si="34"/>
        <v>57.858223554672826</v>
      </c>
      <c r="L177" t="str">
        <f t="shared" si="35"/>
        <v>No</v>
      </c>
      <c r="M177" t="str">
        <f t="shared" si="30"/>
        <v>No</v>
      </c>
      <c r="N177" t="str">
        <f t="shared" si="31"/>
        <v>no</v>
      </c>
    </row>
    <row r="178" spans="1:14" hidden="1" x14ac:dyDescent="0.35">
      <c r="A178" t="s">
        <v>120</v>
      </c>
      <c r="B178" t="s">
        <v>116</v>
      </c>
      <c r="C178">
        <v>42.7</v>
      </c>
      <c r="D178">
        <v>-72.716700000000003</v>
      </c>
      <c r="E178" t="s">
        <v>364</v>
      </c>
      <c r="F178">
        <v>1643</v>
      </c>
      <c r="G178">
        <f t="shared" si="28"/>
        <v>0.59850000000000136</v>
      </c>
      <c r="H178">
        <f t="shared" si="29"/>
        <v>-0.12690000000000623</v>
      </c>
      <c r="I178">
        <f t="shared" si="32"/>
        <v>66.433500000000151</v>
      </c>
      <c r="J178">
        <f t="shared" si="33"/>
        <v>-10.469250000000514</v>
      </c>
      <c r="K178">
        <f t="shared" si="34"/>
        <v>67.253365104004502</v>
      </c>
      <c r="L178" t="str">
        <f t="shared" si="35"/>
        <v>No</v>
      </c>
      <c r="M178" t="str">
        <f t="shared" si="30"/>
        <v>No</v>
      </c>
      <c r="N178" t="str">
        <f t="shared" si="31"/>
        <v>no</v>
      </c>
    </row>
    <row r="179" spans="1:14" hidden="1" x14ac:dyDescent="0.35">
      <c r="A179" t="s">
        <v>157</v>
      </c>
      <c r="B179" t="s">
        <v>143</v>
      </c>
      <c r="C179">
        <v>42.183300000000003</v>
      </c>
      <c r="D179">
        <v>-73.0167</v>
      </c>
      <c r="E179" t="s">
        <v>364</v>
      </c>
      <c r="F179">
        <v>1640</v>
      </c>
      <c r="G179">
        <f t="shared" si="28"/>
        <v>8.1800000000001205E-2</v>
      </c>
      <c r="H179">
        <f t="shared" si="29"/>
        <v>-0.42690000000000339</v>
      </c>
      <c r="I179">
        <f t="shared" si="32"/>
        <v>9.0798000000001338</v>
      </c>
      <c r="J179">
        <f t="shared" si="33"/>
        <v>-35.219250000000279</v>
      </c>
      <c r="K179">
        <f t="shared" si="34"/>
        <v>36.370844623166533</v>
      </c>
      <c r="L179" t="str">
        <f t="shared" si="35"/>
        <v>No</v>
      </c>
      <c r="M179" t="str">
        <f t="shared" si="30"/>
        <v>No</v>
      </c>
      <c r="N179" t="str">
        <f t="shared" si="31"/>
        <v>no</v>
      </c>
    </row>
    <row r="180" spans="1:14" hidden="1" x14ac:dyDescent="0.35">
      <c r="A180" t="s">
        <v>24</v>
      </c>
      <c r="B180" t="s">
        <v>20</v>
      </c>
      <c r="C180">
        <v>42.683300000000003</v>
      </c>
      <c r="D180">
        <v>-73.2333</v>
      </c>
      <c r="E180" t="s">
        <v>364</v>
      </c>
      <c r="F180">
        <v>1637</v>
      </c>
      <c r="G180">
        <f t="shared" si="28"/>
        <v>0.58180000000000121</v>
      </c>
      <c r="H180">
        <f t="shared" si="29"/>
        <v>-0.64350000000000307</v>
      </c>
      <c r="I180">
        <f t="shared" si="32"/>
        <v>64.579800000000134</v>
      </c>
      <c r="J180">
        <f t="shared" si="33"/>
        <v>-53.088750000000253</v>
      </c>
      <c r="K180">
        <f t="shared" si="34"/>
        <v>83.600035553835411</v>
      </c>
      <c r="L180" t="str">
        <f t="shared" si="35"/>
        <v>No</v>
      </c>
      <c r="M180" t="str">
        <f t="shared" si="30"/>
        <v>No</v>
      </c>
      <c r="N180" t="str">
        <f t="shared" si="31"/>
        <v>no</v>
      </c>
    </row>
    <row r="181" spans="1:14" hidden="1" x14ac:dyDescent="0.35">
      <c r="A181" t="s">
        <v>183</v>
      </c>
      <c r="B181" t="s">
        <v>166</v>
      </c>
      <c r="C181">
        <v>42.283299999999997</v>
      </c>
      <c r="D181">
        <v>-72.75</v>
      </c>
      <c r="E181" t="s">
        <v>364</v>
      </c>
      <c r="F181">
        <v>1629</v>
      </c>
      <c r="G181">
        <f t="shared" si="28"/>
        <v>0.18179999999999552</v>
      </c>
      <c r="H181">
        <f t="shared" si="29"/>
        <v>-0.16020000000000323</v>
      </c>
      <c r="I181">
        <f t="shared" si="32"/>
        <v>20.179799999999503</v>
      </c>
      <c r="J181">
        <f t="shared" si="33"/>
        <v>-13.216500000000266</v>
      </c>
      <c r="K181">
        <f t="shared" si="34"/>
        <v>24.122607659413337</v>
      </c>
      <c r="L181" t="str">
        <f t="shared" si="35"/>
        <v>No</v>
      </c>
      <c r="M181" t="str">
        <f t="shared" si="30"/>
        <v>No</v>
      </c>
      <c r="N181" t="str">
        <f t="shared" si="31"/>
        <v>no</v>
      </c>
    </row>
    <row r="182" spans="1:14" hidden="1" x14ac:dyDescent="0.35">
      <c r="A182" t="s">
        <v>141</v>
      </c>
      <c r="B182" t="s">
        <v>116</v>
      </c>
      <c r="C182">
        <v>42.5</v>
      </c>
      <c r="D182">
        <v>-72.533299999999997</v>
      </c>
      <c r="E182" t="s">
        <v>364</v>
      </c>
      <c r="F182">
        <v>1626</v>
      </c>
      <c r="G182">
        <f t="shared" si="28"/>
        <v>0.39849999999999852</v>
      </c>
      <c r="H182">
        <f t="shared" si="29"/>
        <v>5.6499999999999773E-2</v>
      </c>
      <c r="I182">
        <f t="shared" si="32"/>
        <v>44.233499999999836</v>
      </c>
      <c r="J182">
        <f t="shared" si="33"/>
        <v>4.6612499999999812</v>
      </c>
      <c r="K182">
        <f t="shared" si="34"/>
        <v>44.478419191923685</v>
      </c>
      <c r="L182" t="str">
        <f t="shared" si="35"/>
        <v>No</v>
      </c>
      <c r="M182" t="str">
        <f t="shared" si="30"/>
        <v>No</v>
      </c>
      <c r="N182" t="str">
        <f t="shared" si="31"/>
        <v>no</v>
      </c>
    </row>
    <row r="183" spans="1:14" hidden="1" x14ac:dyDescent="0.35">
      <c r="A183" t="s">
        <v>39</v>
      </c>
      <c r="B183" t="s">
        <v>20</v>
      </c>
      <c r="C183">
        <v>42.2333</v>
      </c>
      <c r="D183">
        <v>-73.216700000000003</v>
      </c>
      <c r="E183" t="s">
        <v>364</v>
      </c>
      <c r="F183">
        <v>1619</v>
      </c>
      <c r="G183">
        <f t="shared" si="28"/>
        <v>0.13179999999999836</v>
      </c>
      <c r="H183">
        <f t="shared" si="29"/>
        <v>-0.62690000000000623</v>
      </c>
      <c r="I183">
        <f t="shared" si="32"/>
        <v>14.629799999999818</v>
      </c>
      <c r="J183">
        <f t="shared" si="33"/>
        <v>-51.719250000000514</v>
      </c>
      <c r="K183">
        <f t="shared" si="34"/>
        <v>53.748598759433236</v>
      </c>
      <c r="L183" t="str">
        <f t="shared" si="35"/>
        <v>No</v>
      </c>
      <c r="M183" t="str">
        <f t="shared" si="30"/>
        <v>No</v>
      </c>
      <c r="N183" t="str">
        <f t="shared" si="31"/>
        <v>no</v>
      </c>
    </row>
    <row r="184" spans="1:14" hidden="1" x14ac:dyDescent="0.35">
      <c r="A184" t="s">
        <v>124</v>
      </c>
      <c r="B184" t="s">
        <v>116</v>
      </c>
      <c r="C184">
        <v>42.633299999999998</v>
      </c>
      <c r="D184">
        <v>-72.5</v>
      </c>
      <c r="E184" t="s">
        <v>364</v>
      </c>
      <c r="F184">
        <v>1553</v>
      </c>
      <c r="G184">
        <f t="shared" si="28"/>
        <v>0.53179999999999694</v>
      </c>
      <c r="H184">
        <f t="shared" si="29"/>
        <v>8.9799999999996771E-2</v>
      </c>
      <c r="I184">
        <f t="shared" si="32"/>
        <v>59.029799999999661</v>
      </c>
      <c r="J184">
        <f t="shared" si="33"/>
        <v>7.4084999999997336</v>
      </c>
      <c r="K184">
        <f t="shared" si="34"/>
        <v>59.492883274303956</v>
      </c>
      <c r="L184" t="str">
        <f t="shared" si="35"/>
        <v>No</v>
      </c>
      <c r="M184" t="str">
        <f t="shared" si="30"/>
        <v>No</v>
      </c>
      <c r="N184" t="str">
        <f t="shared" si="31"/>
        <v>no</v>
      </c>
    </row>
    <row r="185" spans="1:14" hidden="1" x14ac:dyDescent="0.35">
      <c r="A185" t="s">
        <v>149</v>
      </c>
      <c r="B185" t="s">
        <v>143</v>
      </c>
      <c r="C185">
        <v>42.133299999999998</v>
      </c>
      <c r="D185">
        <v>-73.2</v>
      </c>
      <c r="E185" t="s">
        <v>364</v>
      </c>
      <c r="F185">
        <v>1540</v>
      </c>
      <c r="G185">
        <f t="shared" si="28"/>
        <v>3.1799999999996942E-2</v>
      </c>
      <c r="H185">
        <f t="shared" si="29"/>
        <v>-0.61020000000000607</v>
      </c>
      <c r="I185">
        <f t="shared" ref="I185:I221" si="36">111*G185</f>
        <v>3.5297999999996605</v>
      </c>
      <c r="J185">
        <f t="shared" ref="J185:J221" si="37">82.5*H185</f>
        <v>-50.341500000000501</v>
      </c>
      <c r="K185">
        <f t="shared" ref="K185:K216" si="38">SQRT(I185^2+J185^2)</f>
        <v>50.465097941944471</v>
      </c>
      <c r="L185" t="str">
        <f t="shared" ref="L185:L216" si="39">IF(K185&lt;=15,"Yes","No")</f>
        <v>No</v>
      </c>
      <c r="M185" t="str">
        <f t="shared" si="30"/>
        <v>No</v>
      </c>
      <c r="N185" t="str">
        <f t="shared" si="31"/>
        <v>no</v>
      </c>
    </row>
    <row r="186" spans="1:14" hidden="1" x14ac:dyDescent="0.35">
      <c r="A186" t="s">
        <v>37</v>
      </c>
      <c r="B186" t="s">
        <v>20</v>
      </c>
      <c r="C186">
        <v>42.2333</v>
      </c>
      <c r="D186">
        <v>-73.466700000000003</v>
      </c>
      <c r="E186" t="s">
        <v>364</v>
      </c>
      <c r="F186">
        <v>1503</v>
      </c>
      <c r="G186">
        <f t="shared" ref="G186:G221" si="40">C186-$C$118</f>
        <v>0.13179999999999836</v>
      </c>
      <c r="H186">
        <f t="shared" ref="H186:H221" si="41">D186-$D$118</f>
        <v>-0.87690000000000623</v>
      </c>
      <c r="I186">
        <f t="shared" si="36"/>
        <v>14.629799999999818</v>
      </c>
      <c r="J186">
        <f t="shared" si="37"/>
        <v>-72.344250000000514</v>
      </c>
      <c r="K186">
        <f t="shared" si="38"/>
        <v>73.808682118722118</v>
      </c>
      <c r="L186" t="str">
        <f t="shared" si="39"/>
        <v>No</v>
      </c>
      <c r="M186" t="str">
        <f t="shared" ref="M186:M221" si="42">IF(K186&lt;=5, "Yes", "No")</f>
        <v>No</v>
      </c>
      <c r="N186" t="str">
        <f t="shared" ref="N186:N221" si="43">IF(K186&lt;=10,"Yes","no")</f>
        <v>no</v>
      </c>
    </row>
    <row r="187" spans="1:14" hidden="1" x14ac:dyDescent="0.35">
      <c r="A187" t="s">
        <v>42</v>
      </c>
      <c r="B187" t="s">
        <v>20</v>
      </c>
      <c r="C187">
        <v>42.4</v>
      </c>
      <c r="D187">
        <v>-73.383300000000006</v>
      </c>
      <c r="E187" t="s">
        <v>364</v>
      </c>
      <c r="F187">
        <v>1405</v>
      </c>
      <c r="G187">
        <f t="shared" si="40"/>
        <v>0.2984999999999971</v>
      </c>
      <c r="H187">
        <f t="shared" si="41"/>
        <v>-0.79350000000000875</v>
      </c>
      <c r="I187">
        <f t="shared" si="36"/>
        <v>33.133499999999678</v>
      </c>
      <c r="J187">
        <f t="shared" si="37"/>
        <v>-65.463750000000715</v>
      </c>
      <c r="K187">
        <f t="shared" si="38"/>
        <v>73.371189075226056</v>
      </c>
      <c r="L187" t="str">
        <f t="shared" si="39"/>
        <v>No</v>
      </c>
      <c r="M187" t="str">
        <f t="shared" si="42"/>
        <v>No</v>
      </c>
      <c r="N187" t="str">
        <f t="shared" si="43"/>
        <v>no</v>
      </c>
    </row>
    <row r="188" spans="1:14" hidden="1" x14ac:dyDescent="0.35">
      <c r="A188" t="s">
        <v>26</v>
      </c>
      <c r="B188" t="s">
        <v>20</v>
      </c>
      <c r="C188">
        <v>42.216999999999999</v>
      </c>
      <c r="D188">
        <v>-73.466700000000003</v>
      </c>
      <c r="E188" t="s">
        <v>364</v>
      </c>
      <c r="F188">
        <v>1375</v>
      </c>
      <c r="G188">
        <f t="shared" si="40"/>
        <v>0.11549999999999727</v>
      </c>
      <c r="H188">
        <f t="shared" si="41"/>
        <v>-0.87690000000000623</v>
      </c>
      <c r="I188">
        <f t="shared" si="36"/>
        <v>12.820499999999697</v>
      </c>
      <c r="J188">
        <f t="shared" si="37"/>
        <v>-72.344250000000514</v>
      </c>
      <c r="K188">
        <f t="shared" si="38"/>
        <v>73.471461999286277</v>
      </c>
      <c r="L188" t="str">
        <f t="shared" si="39"/>
        <v>No</v>
      </c>
      <c r="M188" t="str">
        <f t="shared" si="42"/>
        <v>No</v>
      </c>
      <c r="N188" t="str">
        <f t="shared" si="43"/>
        <v>no</v>
      </c>
    </row>
    <row r="189" spans="1:14" hidden="1" x14ac:dyDescent="0.35">
      <c r="A189" t="s">
        <v>178</v>
      </c>
      <c r="B189" t="s">
        <v>166</v>
      </c>
      <c r="C189">
        <v>42.416699999999999</v>
      </c>
      <c r="D189">
        <v>-72.433300000000003</v>
      </c>
      <c r="E189" t="s">
        <v>364</v>
      </c>
      <c r="F189">
        <v>1343</v>
      </c>
      <c r="G189">
        <f t="shared" si="40"/>
        <v>0.31519999999999726</v>
      </c>
      <c r="H189">
        <f t="shared" si="41"/>
        <v>0.15649999999999409</v>
      </c>
      <c r="I189">
        <f t="shared" si="36"/>
        <v>34.987199999999696</v>
      </c>
      <c r="J189">
        <f t="shared" si="37"/>
        <v>12.911249999999512</v>
      </c>
      <c r="K189">
        <f t="shared" si="38"/>
        <v>37.29349193093168</v>
      </c>
      <c r="L189" t="str">
        <f t="shared" si="39"/>
        <v>No</v>
      </c>
      <c r="M189" t="str">
        <f t="shared" si="42"/>
        <v>No</v>
      </c>
      <c r="N189" t="str">
        <f t="shared" si="43"/>
        <v>no</v>
      </c>
    </row>
    <row r="190" spans="1:14" hidden="1" x14ac:dyDescent="0.35">
      <c r="A190" t="s">
        <v>49</v>
      </c>
      <c r="B190" t="s">
        <v>20</v>
      </c>
      <c r="C190">
        <v>42.333300000000001</v>
      </c>
      <c r="D190">
        <v>-73.349999999999994</v>
      </c>
      <c r="E190" t="s">
        <v>364</v>
      </c>
      <c r="F190">
        <v>1323</v>
      </c>
      <c r="G190">
        <f t="shared" si="40"/>
        <v>0.23179999999999978</v>
      </c>
      <c r="H190">
        <f t="shared" si="41"/>
        <v>-0.76019999999999754</v>
      </c>
      <c r="I190">
        <f t="shared" si="36"/>
        <v>25.729799999999976</v>
      </c>
      <c r="J190">
        <f t="shared" si="37"/>
        <v>-62.716499999999797</v>
      </c>
      <c r="K190">
        <f t="shared" si="38"/>
        <v>67.789246789516497</v>
      </c>
      <c r="L190" t="str">
        <f t="shared" si="39"/>
        <v>No</v>
      </c>
      <c r="M190" t="str">
        <f t="shared" si="42"/>
        <v>No</v>
      </c>
      <c r="N190" t="str">
        <f t="shared" si="43"/>
        <v>no</v>
      </c>
    </row>
    <row r="191" spans="1:14" hidden="1" x14ac:dyDescent="0.35">
      <c r="A191" t="s">
        <v>146</v>
      </c>
      <c r="B191" t="s">
        <v>143</v>
      </c>
      <c r="C191">
        <v>42.2667</v>
      </c>
      <c r="D191">
        <v>-73.066699999999997</v>
      </c>
      <c r="E191" t="s">
        <v>364</v>
      </c>
      <c r="F191">
        <v>1221</v>
      </c>
      <c r="G191">
        <f t="shared" si="40"/>
        <v>0.16519999999999868</v>
      </c>
      <c r="H191">
        <f t="shared" si="41"/>
        <v>-0.47690000000000055</v>
      </c>
      <c r="I191">
        <f t="shared" si="36"/>
        <v>18.337199999999854</v>
      </c>
      <c r="J191">
        <f t="shared" si="37"/>
        <v>-39.344250000000045</v>
      </c>
      <c r="K191">
        <f t="shared" si="38"/>
        <v>43.40763656204399</v>
      </c>
      <c r="L191" t="str">
        <f t="shared" si="39"/>
        <v>No</v>
      </c>
      <c r="M191" t="str">
        <f t="shared" si="42"/>
        <v>No</v>
      </c>
      <c r="N191" t="str">
        <f t="shared" si="43"/>
        <v>no</v>
      </c>
    </row>
    <row r="192" spans="1:14" hidden="1" x14ac:dyDescent="0.35">
      <c r="A192" t="s">
        <v>144</v>
      </c>
      <c r="B192" t="s">
        <v>143</v>
      </c>
      <c r="C192">
        <v>42.116700000000002</v>
      </c>
      <c r="D192">
        <v>-73.033299999999997</v>
      </c>
      <c r="E192" t="s">
        <v>364</v>
      </c>
      <c r="F192">
        <v>1209</v>
      </c>
      <c r="G192">
        <f t="shared" si="40"/>
        <v>1.5200000000000102E-2</v>
      </c>
      <c r="H192">
        <f t="shared" si="41"/>
        <v>-0.44350000000000023</v>
      </c>
      <c r="I192">
        <f t="shared" si="36"/>
        <v>1.6872000000000114</v>
      </c>
      <c r="J192">
        <f t="shared" si="37"/>
        <v>-36.588750000000019</v>
      </c>
      <c r="K192">
        <f t="shared" si="38"/>
        <v>36.627629876945377</v>
      </c>
      <c r="L192" t="str">
        <f t="shared" si="39"/>
        <v>No</v>
      </c>
      <c r="M192" t="str">
        <f t="shared" si="42"/>
        <v>No</v>
      </c>
      <c r="N192" t="str">
        <f t="shared" si="43"/>
        <v>no</v>
      </c>
    </row>
    <row r="193" spans="1:14" hidden="1" x14ac:dyDescent="0.35">
      <c r="A193" t="s">
        <v>185</v>
      </c>
      <c r="B193" t="s">
        <v>166</v>
      </c>
      <c r="C193">
        <v>42.416699999999999</v>
      </c>
      <c r="D193">
        <v>-72.900000000000006</v>
      </c>
      <c r="E193" t="s">
        <v>364</v>
      </c>
      <c r="F193">
        <v>1181</v>
      </c>
      <c r="G193">
        <f t="shared" si="40"/>
        <v>0.31519999999999726</v>
      </c>
      <c r="H193">
        <f t="shared" si="41"/>
        <v>-0.31020000000000891</v>
      </c>
      <c r="I193">
        <f t="shared" si="36"/>
        <v>34.987199999999696</v>
      </c>
      <c r="J193">
        <f t="shared" si="37"/>
        <v>-25.591500000000735</v>
      </c>
      <c r="K193">
        <f t="shared" si="38"/>
        <v>43.347768524919672</v>
      </c>
      <c r="L193" t="str">
        <f t="shared" si="39"/>
        <v>No</v>
      </c>
      <c r="M193" t="str">
        <f t="shared" si="42"/>
        <v>No</v>
      </c>
      <c r="N193" t="str">
        <f t="shared" si="43"/>
        <v>no</v>
      </c>
    </row>
    <row r="194" spans="1:14" hidden="1" x14ac:dyDescent="0.35">
      <c r="A194" t="s">
        <v>119</v>
      </c>
      <c r="B194" t="s">
        <v>116</v>
      </c>
      <c r="C194">
        <v>42.633299999999998</v>
      </c>
      <c r="D194">
        <v>-72.900000000000006</v>
      </c>
      <c r="E194" t="s">
        <v>364</v>
      </c>
      <c r="F194">
        <v>1179</v>
      </c>
      <c r="G194">
        <f t="shared" si="40"/>
        <v>0.53179999999999694</v>
      </c>
      <c r="H194">
        <f t="shared" si="41"/>
        <v>-0.31020000000000891</v>
      </c>
      <c r="I194">
        <f t="shared" si="36"/>
        <v>59.029799999999661</v>
      </c>
      <c r="J194">
        <f t="shared" si="37"/>
        <v>-25.591500000000735</v>
      </c>
      <c r="K194">
        <f t="shared" si="38"/>
        <v>64.338496720781393</v>
      </c>
      <c r="L194" t="str">
        <f t="shared" si="39"/>
        <v>No</v>
      </c>
      <c r="M194" t="str">
        <f t="shared" si="42"/>
        <v>No</v>
      </c>
      <c r="N194" t="str">
        <f t="shared" si="43"/>
        <v>no</v>
      </c>
    </row>
    <row r="195" spans="1:14" hidden="1" x14ac:dyDescent="0.35">
      <c r="A195" t="s">
        <v>168</v>
      </c>
      <c r="B195" t="s">
        <v>166</v>
      </c>
      <c r="C195">
        <v>42.366700000000002</v>
      </c>
      <c r="D195">
        <v>-72.900000000000006</v>
      </c>
      <c r="E195" t="s">
        <v>364</v>
      </c>
      <c r="F195">
        <v>1174</v>
      </c>
      <c r="G195">
        <f t="shared" si="40"/>
        <v>0.2652000000000001</v>
      </c>
      <c r="H195">
        <f t="shared" si="41"/>
        <v>-0.31020000000000891</v>
      </c>
      <c r="I195">
        <f t="shared" si="36"/>
        <v>29.437200000000011</v>
      </c>
      <c r="J195">
        <f t="shared" si="37"/>
        <v>-25.591500000000735</v>
      </c>
      <c r="K195">
        <f t="shared" si="38"/>
        <v>39.006071528545888</v>
      </c>
      <c r="L195" t="str">
        <f t="shared" si="39"/>
        <v>No</v>
      </c>
      <c r="M195" t="str">
        <f t="shared" si="42"/>
        <v>No</v>
      </c>
      <c r="N195" t="str">
        <f t="shared" si="43"/>
        <v>no</v>
      </c>
    </row>
    <row r="196" spans="1:14" hidden="1" x14ac:dyDescent="0.35">
      <c r="A196" t="s">
        <v>34</v>
      </c>
      <c r="B196" t="s">
        <v>20</v>
      </c>
      <c r="C196">
        <v>42.3</v>
      </c>
      <c r="D196">
        <v>-73.349999999999994</v>
      </c>
      <c r="E196" t="s">
        <v>364</v>
      </c>
      <c r="F196">
        <v>1085</v>
      </c>
      <c r="G196">
        <f t="shared" si="40"/>
        <v>0.19849999999999568</v>
      </c>
      <c r="H196">
        <f t="shared" si="41"/>
        <v>-0.76019999999999754</v>
      </c>
      <c r="I196">
        <f t="shared" si="36"/>
        <v>22.03349999999952</v>
      </c>
      <c r="J196">
        <f t="shared" si="37"/>
        <v>-62.716499999999797</v>
      </c>
      <c r="K196">
        <f t="shared" si="38"/>
        <v>66.474314547048579</v>
      </c>
      <c r="L196" t="str">
        <f t="shared" si="39"/>
        <v>No</v>
      </c>
      <c r="M196" t="str">
        <f t="shared" si="42"/>
        <v>No</v>
      </c>
      <c r="N196" t="str">
        <f t="shared" si="43"/>
        <v>no</v>
      </c>
    </row>
    <row r="197" spans="1:14" hidden="1" x14ac:dyDescent="0.35">
      <c r="A197" t="s">
        <v>132</v>
      </c>
      <c r="B197" t="s">
        <v>116</v>
      </c>
      <c r="C197">
        <v>42.433300000000003</v>
      </c>
      <c r="D197">
        <v>-72.2667</v>
      </c>
      <c r="E197" t="s">
        <v>364</v>
      </c>
      <c r="F197">
        <v>1023</v>
      </c>
      <c r="G197">
        <f t="shared" si="40"/>
        <v>0.33180000000000121</v>
      </c>
      <c r="H197">
        <f t="shared" si="41"/>
        <v>0.32309999999999661</v>
      </c>
      <c r="I197">
        <f t="shared" si="36"/>
        <v>36.829800000000134</v>
      </c>
      <c r="J197">
        <f t="shared" si="37"/>
        <v>26.655749999999721</v>
      </c>
      <c r="K197">
        <f t="shared" si="38"/>
        <v>45.46386670865661</v>
      </c>
      <c r="L197" t="str">
        <f t="shared" si="39"/>
        <v>No</v>
      </c>
      <c r="M197" t="str">
        <f t="shared" si="42"/>
        <v>No</v>
      </c>
      <c r="N197" t="str">
        <f t="shared" si="43"/>
        <v>no</v>
      </c>
    </row>
    <row r="198" spans="1:14" hidden="1" x14ac:dyDescent="0.35">
      <c r="A198" t="s">
        <v>43</v>
      </c>
      <c r="B198" t="s">
        <v>20</v>
      </c>
      <c r="C198">
        <v>42.183300000000003</v>
      </c>
      <c r="D198">
        <v>-73.2333</v>
      </c>
      <c r="E198" t="s">
        <v>364</v>
      </c>
      <c r="F198">
        <v>984</v>
      </c>
      <c r="G198">
        <f t="shared" si="40"/>
        <v>8.1800000000001205E-2</v>
      </c>
      <c r="H198">
        <f t="shared" si="41"/>
        <v>-0.64350000000000307</v>
      </c>
      <c r="I198">
        <f t="shared" si="36"/>
        <v>9.0798000000001338</v>
      </c>
      <c r="J198">
        <f t="shared" si="37"/>
        <v>-53.088750000000253</v>
      </c>
      <c r="K198">
        <f t="shared" si="38"/>
        <v>53.859615154608463</v>
      </c>
      <c r="L198" t="str">
        <f t="shared" si="39"/>
        <v>No</v>
      </c>
      <c r="M198" t="str">
        <f t="shared" si="42"/>
        <v>No</v>
      </c>
      <c r="N198" t="str">
        <f t="shared" si="43"/>
        <v>no</v>
      </c>
    </row>
    <row r="199" spans="1:14" hidden="1" x14ac:dyDescent="0.35">
      <c r="A199" t="s">
        <v>171</v>
      </c>
      <c r="B199" t="s">
        <v>166</v>
      </c>
      <c r="C199">
        <v>42.466700000000003</v>
      </c>
      <c r="D199">
        <v>-72.816699999999997</v>
      </c>
      <c r="E199" t="s">
        <v>364</v>
      </c>
      <c r="F199">
        <v>942</v>
      </c>
      <c r="G199">
        <f t="shared" si="40"/>
        <v>0.36520000000000152</v>
      </c>
      <c r="H199">
        <f t="shared" si="41"/>
        <v>-0.22690000000000055</v>
      </c>
      <c r="I199">
        <f t="shared" si="36"/>
        <v>40.537200000000169</v>
      </c>
      <c r="J199">
        <f t="shared" si="37"/>
        <v>-18.719250000000045</v>
      </c>
      <c r="K199">
        <f t="shared" si="38"/>
        <v>44.650586831558165</v>
      </c>
      <c r="L199" t="str">
        <f t="shared" si="39"/>
        <v>No</v>
      </c>
      <c r="M199" t="str">
        <f t="shared" si="42"/>
        <v>No</v>
      </c>
      <c r="N199" t="str">
        <f t="shared" si="43"/>
        <v>no</v>
      </c>
    </row>
    <row r="200" spans="1:14" hidden="1" x14ac:dyDescent="0.35">
      <c r="A200" t="s">
        <v>140</v>
      </c>
      <c r="B200" t="s">
        <v>116</v>
      </c>
      <c r="C200">
        <v>42.383299999999998</v>
      </c>
      <c r="D200">
        <v>-72.416700000000006</v>
      </c>
      <c r="E200" t="s">
        <v>364</v>
      </c>
      <c r="F200">
        <v>916</v>
      </c>
      <c r="G200">
        <f t="shared" si="40"/>
        <v>0.28179999999999694</v>
      </c>
      <c r="H200">
        <f t="shared" si="41"/>
        <v>0.17309999999999093</v>
      </c>
      <c r="I200">
        <f t="shared" si="36"/>
        <v>31.279799999999661</v>
      </c>
      <c r="J200">
        <f t="shared" si="37"/>
        <v>14.280749999999252</v>
      </c>
      <c r="K200">
        <f t="shared" si="38"/>
        <v>34.385545053153621</v>
      </c>
      <c r="L200" t="str">
        <f t="shared" si="39"/>
        <v>No</v>
      </c>
      <c r="M200" t="str">
        <f t="shared" si="42"/>
        <v>No</v>
      </c>
      <c r="N200" t="str">
        <f t="shared" si="43"/>
        <v>no</v>
      </c>
    </row>
    <row r="201" spans="1:14" hidden="1" x14ac:dyDescent="0.35">
      <c r="A201" t="s">
        <v>155</v>
      </c>
      <c r="B201" t="s">
        <v>143</v>
      </c>
      <c r="C201">
        <v>42.133299999999998</v>
      </c>
      <c r="D201">
        <v>-72.833299999999994</v>
      </c>
      <c r="E201" t="s">
        <v>364</v>
      </c>
      <c r="F201">
        <v>837</v>
      </c>
      <c r="G201">
        <f t="shared" si="40"/>
        <v>3.1799999999996942E-2</v>
      </c>
      <c r="H201">
        <f t="shared" si="41"/>
        <v>-0.24349999999999739</v>
      </c>
      <c r="I201">
        <f t="shared" si="36"/>
        <v>3.5297999999996605</v>
      </c>
      <c r="J201">
        <f t="shared" si="37"/>
        <v>-20.088749999999784</v>
      </c>
      <c r="K201">
        <f t="shared" si="38"/>
        <v>20.396503734770057</v>
      </c>
      <c r="L201" t="str">
        <f t="shared" si="39"/>
        <v>No</v>
      </c>
      <c r="M201" t="str">
        <f t="shared" si="42"/>
        <v>No</v>
      </c>
      <c r="N201" t="str">
        <f t="shared" si="43"/>
        <v>no</v>
      </c>
    </row>
    <row r="202" spans="1:14" hidden="1" x14ac:dyDescent="0.35">
      <c r="A202" t="s">
        <v>169</v>
      </c>
      <c r="B202" t="s">
        <v>166</v>
      </c>
      <c r="C202">
        <v>42.4</v>
      </c>
      <c r="D202">
        <v>-72.9833</v>
      </c>
      <c r="E202" t="s">
        <v>364</v>
      </c>
      <c r="F202">
        <v>819</v>
      </c>
      <c r="G202">
        <f t="shared" si="40"/>
        <v>0.2984999999999971</v>
      </c>
      <c r="H202">
        <f t="shared" si="41"/>
        <v>-0.39350000000000307</v>
      </c>
      <c r="I202">
        <f t="shared" si="36"/>
        <v>33.133499999999678</v>
      </c>
      <c r="J202">
        <f t="shared" si="37"/>
        <v>-32.463750000000253</v>
      </c>
      <c r="K202">
        <f t="shared" si="38"/>
        <v>46.386677896918798</v>
      </c>
      <c r="L202" t="str">
        <f t="shared" si="39"/>
        <v>No</v>
      </c>
      <c r="M202" t="str">
        <f t="shared" si="42"/>
        <v>No</v>
      </c>
      <c r="N202" t="str">
        <f t="shared" si="43"/>
        <v>no</v>
      </c>
    </row>
    <row r="203" spans="1:14" hidden="1" x14ac:dyDescent="0.35">
      <c r="A203" t="s">
        <v>51</v>
      </c>
      <c r="B203" t="s">
        <v>20</v>
      </c>
      <c r="C203">
        <v>42.5</v>
      </c>
      <c r="D203">
        <v>-73.099999999999994</v>
      </c>
      <c r="E203" t="s">
        <v>364</v>
      </c>
      <c r="F203">
        <v>817</v>
      </c>
      <c r="G203">
        <f t="shared" si="40"/>
        <v>0.39849999999999852</v>
      </c>
      <c r="H203">
        <f t="shared" si="41"/>
        <v>-0.51019999999999754</v>
      </c>
      <c r="I203">
        <f t="shared" si="36"/>
        <v>44.233499999999836</v>
      </c>
      <c r="J203">
        <f t="shared" si="37"/>
        <v>-42.091499999999797</v>
      </c>
      <c r="K203">
        <f t="shared" si="38"/>
        <v>61.059781317164642</v>
      </c>
      <c r="L203" t="str">
        <f t="shared" si="39"/>
        <v>No</v>
      </c>
      <c r="M203" t="str">
        <f t="shared" si="42"/>
        <v>No</v>
      </c>
      <c r="N203" t="str">
        <f t="shared" si="43"/>
        <v>no</v>
      </c>
    </row>
    <row r="204" spans="1:14" hidden="1" x14ac:dyDescent="0.35">
      <c r="A204" t="s">
        <v>40</v>
      </c>
      <c r="B204" t="s">
        <v>20</v>
      </c>
      <c r="C204">
        <v>42.4</v>
      </c>
      <c r="D204">
        <v>-73.183300000000003</v>
      </c>
      <c r="E204" t="s">
        <v>364</v>
      </c>
      <c r="F204">
        <v>798</v>
      </c>
      <c r="G204">
        <f t="shared" si="40"/>
        <v>0.2984999999999971</v>
      </c>
      <c r="H204">
        <f t="shared" si="41"/>
        <v>-0.59350000000000591</v>
      </c>
      <c r="I204">
        <f t="shared" si="36"/>
        <v>33.133499999999678</v>
      </c>
      <c r="J204">
        <f t="shared" si="37"/>
        <v>-48.963750000000488</v>
      </c>
      <c r="K204">
        <f t="shared" si="38"/>
        <v>59.120873101744074</v>
      </c>
      <c r="L204" t="str">
        <f t="shared" si="39"/>
        <v>No</v>
      </c>
      <c r="M204" t="str">
        <f t="shared" si="42"/>
        <v>No</v>
      </c>
      <c r="N204" t="str">
        <f t="shared" si="43"/>
        <v>no</v>
      </c>
    </row>
    <row r="205" spans="1:14" hidden="1" x14ac:dyDescent="0.35">
      <c r="A205" t="s">
        <v>139</v>
      </c>
      <c r="B205" t="s">
        <v>116</v>
      </c>
      <c r="C205">
        <v>42.7</v>
      </c>
      <c r="D205">
        <v>-72.8</v>
      </c>
      <c r="E205" t="s">
        <v>364</v>
      </c>
      <c r="F205">
        <v>774</v>
      </c>
      <c r="G205">
        <f t="shared" si="40"/>
        <v>0.59850000000000136</v>
      </c>
      <c r="H205">
        <f t="shared" si="41"/>
        <v>-0.21020000000000039</v>
      </c>
      <c r="I205">
        <f t="shared" si="36"/>
        <v>66.433500000000151</v>
      </c>
      <c r="J205">
        <f t="shared" si="37"/>
        <v>-17.341500000000032</v>
      </c>
      <c r="K205">
        <f t="shared" si="38"/>
        <v>68.659577223429082</v>
      </c>
      <c r="L205" t="str">
        <f t="shared" si="39"/>
        <v>No</v>
      </c>
      <c r="M205" t="str">
        <f t="shared" si="42"/>
        <v>No</v>
      </c>
      <c r="N205" t="str">
        <f t="shared" si="43"/>
        <v>no</v>
      </c>
    </row>
    <row r="206" spans="1:14" hidden="1" x14ac:dyDescent="0.35">
      <c r="A206" t="s">
        <v>29</v>
      </c>
      <c r="B206" t="s">
        <v>20</v>
      </c>
      <c r="C206">
        <v>42.333300000000001</v>
      </c>
      <c r="D206">
        <v>-73.2</v>
      </c>
      <c r="E206" t="s">
        <v>364</v>
      </c>
      <c r="F206">
        <v>740</v>
      </c>
      <c r="G206">
        <f t="shared" si="40"/>
        <v>0.23179999999999978</v>
      </c>
      <c r="H206">
        <f t="shared" si="41"/>
        <v>-0.61020000000000607</v>
      </c>
      <c r="I206">
        <f t="shared" si="36"/>
        <v>25.729799999999976</v>
      </c>
      <c r="J206">
        <f t="shared" si="37"/>
        <v>-50.341500000000501</v>
      </c>
      <c r="K206">
        <f t="shared" si="38"/>
        <v>56.535734100567311</v>
      </c>
      <c r="L206" t="str">
        <f t="shared" si="39"/>
        <v>No</v>
      </c>
      <c r="M206" t="str">
        <f t="shared" si="42"/>
        <v>No</v>
      </c>
      <c r="N206" t="str">
        <f t="shared" si="43"/>
        <v>no</v>
      </c>
    </row>
    <row r="207" spans="1:14" hidden="1" x14ac:dyDescent="0.35">
      <c r="A207" t="s">
        <v>129</v>
      </c>
      <c r="B207" t="s">
        <v>116</v>
      </c>
      <c r="C207">
        <v>42.7</v>
      </c>
      <c r="D207">
        <v>-72.633300000000006</v>
      </c>
      <c r="E207" t="s">
        <v>364</v>
      </c>
      <c r="F207">
        <v>735</v>
      </c>
      <c r="G207">
        <f t="shared" si="40"/>
        <v>0.59850000000000136</v>
      </c>
      <c r="H207">
        <f t="shared" si="41"/>
        <v>-4.3500000000008754E-2</v>
      </c>
      <c r="I207">
        <f t="shared" si="36"/>
        <v>66.433500000000151</v>
      </c>
      <c r="J207">
        <f t="shared" si="37"/>
        <v>-3.5887500000007222</v>
      </c>
      <c r="K207">
        <f t="shared" si="38"/>
        <v>66.53036185691856</v>
      </c>
      <c r="L207" t="str">
        <f t="shared" si="39"/>
        <v>No</v>
      </c>
      <c r="M207" t="str">
        <f t="shared" si="42"/>
        <v>No</v>
      </c>
      <c r="N207" t="str">
        <f t="shared" si="43"/>
        <v>no</v>
      </c>
    </row>
    <row r="208" spans="1:14" hidden="1" x14ac:dyDescent="0.35">
      <c r="A208" t="s">
        <v>127</v>
      </c>
      <c r="B208" t="s">
        <v>116</v>
      </c>
      <c r="C208">
        <v>42.5167</v>
      </c>
      <c r="D208">
        <v>-72.916700000000006</v>
      </c>
      <c r="E208" t="s">
        <v>364</v>
      </c>
      <c r="F208">
        <v>717</v>
      </c>
      <c r="G208">
        <f t="shared" si="40"/>
        <v>0.41519999999999868</v>
      </c>
      <c r="H208">
        <f t="shared" si="41"/>
        <v>-0.32690000000000907</v>
      </c>
      <c r="I208">
        <f t="shared" si="36"/>
        <v>46.087199999999854</v>
      </c>
      <c r="J208">
        <f t="shared" si="37"/>
        <v>-26.969250000000748</v>
      </c>
      <c r="K208">
        <f t="shared" si="38"/>
        <v>53.398225152176423</v>
      </c>
      <c r="L208" t="str">
        <f t="shared" si="39"/>
        <v>No</v>
      </c>
      <c r="M208" t="str">
        <f t="shared" si="42"/>
        <v>No</v>
      </c>
      <c r="N208" t="str">
        <f t="shared" si="43"/>
        <v>no</v>
      </c>
    </row>
    <row r="209" spans="1:14" hidden="1" x14ac:dyDescent="0.35">
      <c r="A209" t="s">
        <v>27</v>
      </c>
      <c r="B209" t="s">
        <v>20</v>
      </c>
      <c r="C209">
        <v>42.633299999999998</v>
      </c>
      <c r="D209">
        <v>-73.183300000000003</v>
      </c>
      <c r="E209" t="s">
        <v>364</v>
      </c>
      <c r="F209">
        <v>673</v>
      </c>
      <c r="G209">
        <f t="shared" si="40"/>
        <v>0.53179999999999694</v>
      </c>
      <c r="H209">
        <f t="shared" si="41"/>
        <v>-0.59350000000000591</v>
      </c>
      <c r="I209">
        <f t="shared" si="36"/>
        <v>59.029799999999661</v>
      </c>
      <c r="J209">
        <f t="shared" si="37"/>
        <v>-48.963750000000488</v>
      </c>
      <c r="K209">
        <f t="shared" si="38"/>
        <v>76.693976961052869</v>
      </c>
      <c r="L209" t="str">
        <f t="shared" si="39"/>
        <v>No</v>
      </c>
      <c r="M209" t="str">
        <f t="shared" si="42"/>
        <v>No</v>
      </c>
      <c r="N209" t="str">
        <f t="shared" si="43"/>
        <v>no</v>
      </c>
    </row>
    <row r="210" spans="1:14" hidden="1" x14ac:dyDescent="0.35">
      <c r="A210" t="s">
        <v>44</v>
      </c>
      <c r="B210" t="s">
        <v>20</v>
      </c>
      <c r="C210">
        <v>42.533299999999997</v>
      </c>
      <c r="D210">
        <v>-73.083299999999994</v>
      </c>
      <c r="E210" t="s">
        <v>364</v>
      </c>
      <c r="F210">
        <v>655</v>
      </c>
      <c r="G210">
        <f t="shared" si="40"/>
        <v>0.43179999999999552</v>
      </c>
      <c r="H210">
        <f t="shared" si="41"/>
        <v>-0.49349999999999739</v>
      </c>
      <c r="I210">
        <f t="shared" si="36"/>
        <v>47.929799999999503</v>
      </c>
      <c r="J210">
        <f t="shared" si="37"/>
        <v>-40.713749999999784</v>
      </c>
      <c r="K210">
        <f t="shared" si="38"/>
        <v>62.887798237038275</v>
      </c>
      <c r="L210" t="str">
        <f t="shared" si="39"/>
        <v>No</v>
      </c>
      <c r="M210" t="str">
        <f t="shared" si="42"/>
        <v>No</v>
      </c>
      <c r="N210" t="str">
        <f t="shared" si="43"/>
        <v>no</v>
      </c>
    </row>
    <row r="211" spans="1:14" hidden="1" x14ac:dyDescent="0.35">
      <c r="A211" t="s">
        <v>179</v>
      </c>
      <c r="B211" t="s">
        <v>166</v>
      </c>
      <c r="C211">
        <v>42.466700000000003</v>
      </c>
      <c r="D211">
        <v>-72.833299999999994</v>
      </c>
      <c r="E211" t="s">
        <v>364</v>
      </c>
      <c r="F211">
        <v>649</v>
      </c>
      <c r="G211">
        <f t="shared" si="40"/>
        <v>0.36520000000000152</v>
      </c>
      <c r="H211">
        <f t="shared" si="41"/>
        <v>-0.24349999999999739</v>
      </c>
      <c r="I211">
        <f t="shared" si="36"/>
        <v>40.537200000000169</v>
      </c>
      <c r="J211">
        <f t="shared" si="37"/>
        <v>-20.088749999999784</v>
      </c>
      <c r="K211">
        <f t="shared" si="38"/>
        <v>45.241822027881518</v>
      </c>
      <c r="L211" t="str">
        <f t="shared" si="39"/>
        <v>No</v>
      </c>
      <c r="M211" t="str">
        <f t="shared" si="42"/>
        <v>No</v>
      </c>
      <c r="N211" t="str">
        <f t="shared" si="43"/>
        <v>no</v>
      </c>
    </row>
    <row r="212" spans="1:14" hidden="1" x14ac:dyDescent="0.35">
      <c r="A212" t="s">
        <v>48</v>
      </c>
      <c r="B212" t="s">
        <v>20</v>
      </c>
      <c r="C212">
        <v>42.35</v>
      </c>
      <c r="D212">
        <v>-73.25</v>
      </c>
      <c r="E212" t="s">
        <v>364</v>
      </c>
      <c r="F212">
        <v>497</v>
      </c>
      <c r="G212">
        <f t="shared" si="40"/>
        <v>0.24849999999999994</v>
      </c>
      <c r="H212">
        <f t="shared" si="41"/>
        <v>-0.66020000000000323</v>
      </c>
      <c r="I212">
        <f t="shared" si="36"/>
        <v>27.583499999999994</v>
      </c>
      <c r="J212">
        <f t="shared" si="37"/>
        <v>-54.466500000000266</v>
      </c>
      <c r="K212">
        <f t="shared" si="38"/>
        <v>61.052838545804143</v>
      </c>
      <c r="L212" t="str">
        <f t="shared" si="39"/>
        <v>No</v>
      </c>
      <c r="M212" t="str">
        <f t="shared" si="42"/>
        <v>No</v>
      </c>
      <c r="N212" t="str">
        <f t="shared" si="43"/>
        <v>no</v>
      </c>
    </row>
    <row r="213" spans="1:14" hidden="1" x14ac:dyDescent="0.35">
      <c r="A213" t="s">
        <v>21</v>
      </c>
      <c r="B213" t="s">
        <v>20</v>
      </c>
      <c r="C213">
        <v>42.321100000000001</v>
      </c>
      <c r="D213">
        <v>-73.420199999999994</v>
      </c>
      <c r="E213" t="s">
        <v>364</v>
      </c>
      <c r="F213">
        <v>483</v>
      </c>
      <c r="G213">
        <f t="shared" si="40"/>
        <v>0.2195999999999998</v>
      </c>
      <c r="H213">
        <f t="shared" si="41"/>
        <v>-0.83039999999999736</v>
      </c>
      <c r="I213">
        <f t="shared" si="36"/>
        <v>24.375599999999977</v>
      </c>
      <c r="J213">
        <f t="shared" si="37"/>
        <v>-68.507999999999782</v>
      </c>
      <c r="K213">
        <f t="shared" si="38"/>
        <v>72.715307462459165</v>
      </c>
      <c r="L213" t="str">
        <f t="shared" si="39"/>
        <v>No</v>
      </c>
      <c r="M213" t="str">
        <f t="shared" si="42"/>
        <v>No</v>
      </c>
      <c r="N213" t="str">
        <f t="shared" si="43"/>
        <v>no</v>
      </c>
    </row>
    <row r="214" spans="1:14" hidden="1" x14ac:dyDescent="0.35">
      <c r="A214" t="s">
        <v>160</v>
      </c>
      <c r="B214" t="s">
        <v>143</v>
      </c>
      <c r="C214">
        <v>42.083300000000001</v>
      </c>
      <c r="D214">
        <v>-73.05</v>
      </c>
      <c r="E214" t="s">
        <v>364</v>
      </c>
      <c r="F214">
        <v>474</v>
      </c>
      <c r="G214">
        <f t="shared" si="40"/>
        <v>-1.8200000000000216E-2</v>
      </c>
      <c r="H214">
        <f t="shared" si="41"/>
        <v>-0.46020000000000039</v>
      </c>
      <c r="I214">
        <f t="shared" si="36"/>
        <v>-2.020200000000024</v>
      </c>
      <c r="J214">
        <f t="shared" si="37"/>
        <v>-37.966500000000032</v>
      </c>
      <c r="K214">
        <f t="shared" si="38"/>
        <v>38.020209498239254</v>
      </c>
      <c r="L214" t="str">
        <f t="shared" si="39"/>
        <v>No</v>
      </c>
      <c r="M214" t="str">
        <f t="shared" si="42"/>
        <v>No</v>
      </c>
      <c r="N214" t="str">
        <f t="shared" si="43"/>
        <v>no</v>
      </c>
    </row>
    <row r="215" spans="1:14" hidden="1" x14ac:dyDescent="0.35">
      <c r="A215" t="s">
        <v>135</v>
      </c>
      <c r="B215" t="s">
        <v>116</v>
      </c>
      <c r="C215">
        <v>42.7</v>
      </c>
      <c r="D215">
        <v>-73.05</v>
      </c>
      <c r="E215" t="s">
        <v>364</v>
      </c>
      <c r="F215">
        <v>419</v>
      </c>
      <c r="G215">
        <f t="shared" si="40"/>
        <v>0.59850000000000136</v>
      </c>
      <c r="H215">
        <f t="shared" si="41"/>
        <v>-0.46020000000000039</v>
      </c>
      <c r="I215">
        <f t="shared" si="36"/>
        <v>66.433500000000151</v>
      </c>
      <c r="J215">
        <f t="shared" si="37"/>
        <v>-37.966500000000032</v>
      </c>
      <c r="K215">
        <f t="shared" si="38"/>
        <v>76.517089885201614</v>
      </c>
      <c r="L215" t="str">
        <f t="shared" si="39"/>
        <v>No</v>
      </c>
      <c r="M215" t="str">
        <f t="shared" si="42"/>
        <v>No</v>
      </c>
      <c r="N215" t="str">
        <f t="shared" si="43"/>
        <v>no</v>
      </c>
    </row>
    <row r="216" spans="1:14" hidden="1" x14ac:dyDescent="0.35">
      <c r="A216" t="s">
        <v>47</v>
      </c>
      <c r="B216" t="s">
        <v>20</v>
      </c>
      <c r="C216">
        <v>42.25</v>
      </c>
      <c r="D216">
        <v>-73.25</v>
      </c>
      <c r="E216" t="s">
        <v>364</v>
      </c>
      <c r="F216">
        <v>419</v>
      </c>
      <c r="G216">
        <f t="shared" si="40"/>
        <v>0.14849999999999852</v>
      </c>
      <c r="H216">
        <f t="shared" si="41"/>
        <v>-0.66020000000000323</v>
      </c>
      <c r="I216">
        <f t="shared" si="36"/>
        <v>16.483499999999836</v>
      </c>
      <c r="J216">
        <f t="shared" si="37"/>
        <v>-54.466500000000266</v>
      </c>
      <c r="K216">
        <f t="shared" si="38"/>
        <v>56.906110344145148</v>
      </c>
      <c r="L216" t="str">
        <f t="shared" si="39"/>
        <v>No</v>
      </c>
      <c r="M216" t="str">
        <f t="shared" si="42"/>
        <v>No</v>
      </c>
      <c r="N216" t="str">
        <f t="shared" si="43"/>
        <v>no</v>
      </c>
    </row>
    <row r="217" spans="1:14" hidden="1" x14ac:dyDescent="0.35">
      <c r="A217" t="s">
        <v>176</v>
      </c>
      <c r="B217" t="s">
        <v>166</v>
      </c>
      <c r="C217">
        <v>42.45</v>
      </c>
      <c r="D217">
        <v>-73.033299999999997</v>
      </c>
      <c r="E217" t="s">
        <v>364</v>
      </c>
      <c r="F217">
        <v>397</v>
      </c>
      <c r="G217">
        <f t="shared" si="40"/>
        <v>0.34850000000000136</v>
      </c>
      <c r="H217">
        <f t="shared" si="41"/>
        <v>-0.44350000000000023</v>
      </c>
      <c r="I217">
        <f t="shared" si="36"/>
        <v>38.683500000000151</v>
      </c>
      <c r="J217">
        <f t="shared" si="37"/>
        <v>-36.588750000000019</v>
      </c>
      <c r="K217">
        <f t="shared" ref="K217:K221" si="44">SQRT(I217^2+J217^2)</f>
        <v>53.246124730467599</v>
      </c>
      <c r="L217" t="str">
        <f t="shared" ref="L217:L221" si="45">IF(K217&lt;=15,"Yes","No")</f>
        <v>No</v>
      </c>
      <c r="M217" t="str">
        <f t="shared" si="42"/>
        <v>No</v>
      </c>
      <c r="N217" t="str">
        <f t="shared" si="43"/>
        <v>no</v>
      </c>
    </row>
    <row r="218" spans="1:14" hidden="1" x14ac:dyDescent="0.35">
      <c r="A218" t="s">
        <v>126</v>
      </c>
      <c r="B218" t="s">
        <v>116</v>
      </c>
      <c r="C218">
        <v>42.566699999999997</v>
      </c>
      <c r="D218">
        <v>-72.833299999999994</v>
      </c>
      <c r="E218" t="s">
        <v>364</v>
      </c>
      <c r="F218">
        <v>352</v>
      </c>
      <c r="G218">
        <f t="shared" si="40"/>
        <v>0.46519999999999584</v>
      </c>
      <c r="H218">
        <f t="shared" si="41"/>
        <v>-0.24349999999999739</v>
      </c>
      <c r="I218">
        <f t="shared" si="36"/>
        <v>51.637199999999538</v>
      </c>
      <c r="J218">
        <f t="shared" si="37"/>
        <v>-20.088749999999784</v>
      </c>
      <c r="K218">
        <f t="shared" si="44"/>
        <v>55.40720440883517</v>
      </c>
      <c r="L218" t="str">
        <f t="shared" si="45"/>
        <v>No</v>
      </c>
      <c r="M218" t="str">
        <f t="shared" si="42"/>
        <v>No</v>
      </c>
      <c r="N218" t="str">
        <f t="shared" si="43"/>
        <v>no</v>
      </c>
    </row>
    <row r="219" spans="1:14" hidden="1" x14ac:dyDescent="0.35">
      <c r="A219" t="s">
        <v>36</v>
      </c>
      <c r="B219" t="s">
        <v>20</v>
      </c>
      <c r="C219">
        <v>42.666699999999999</v>
      </c>
      <c r="D219">
        <v>-73.283299999999997</v>
      </c>
      <c r="E219" t="s">
        <v>364</v>
      </c>
      <c r="F219">
        <v>249</v>
      </c>
      <c r="G219">
        <f t="shared" si="40"/>
        <v>0.56519999999999726</v>
      </c>
      <c r="H219">
        <f t="shared" si="41"/>
        <v>-0.69350000000000023</v>
      </c>
      <c r="I219">
        <f t="shared" si="36"/>
        <v>62.737199999999696</v>
      </c>
      <c r="J219">
        <f t="shared" si="37"/>
        <v>-57.213750000000019</v>
      </c>
      <c r="K219">
        <f t="shared" si="44"/>
        <v>84.908005823376072</v>
      </c>
      <c r="L219" t="str">
        <f t="shared" si="45"/>
        <v>No</v>
      </c>
      <c r="M219" t="str">
        <f t="shared" si="42"/>
        <v>No</v>
      </c>
      <c r="N219" t="str">
        <f t="shared" si="43"/>
        <v>no</v>
      </c>
    </row>
    <row r="220" spans="1:14" hidden="1" x14ac:dyDescent="0.35">
      <c r="A220" t="s">
        <v>35</v>
      </c>
      <c r="B220" t="s">
        <v>20</v>
      </c>
      <c r="C220">
        <v>42.15</v>
      </c>
      <c r="D220">
        <v>-73.45</v>
      </c>
      <c r="E220" t="s">
        <v>364</v>
      </c>
      <c r="F220">
        <v>157</v>
      </c>
      <c r="G220">
        <f t="shared" si="40"/>
        <v>4.8499999999997101E-2</v>
      </c>
      <c r="H220">
        <f t="shared" si="41"/>
        <v>-0.86020000000000607</v>
      </c>
      <c r="I220">
        <f t="shared" si="36"/>
        <v>5.3834999999996782</v>
      </c>
      <c r="J220">
        <f t="shared" si="37"/>
        <v>-70.966500000000508</v>
      </c>
      <c r="K220">
        <f t="shared" si="44"/>
        <v>71.170402517479616</v>
      </c>
      <c r="L220" t="str">
        <f t="shared" si="45"/>
        <v>No</v>
      </c>
      <c r="M220" t="str">
        <f t="shared" si="42"/>
        <v>No</v>
      </c>
      <c r="N220" t="str">
        <f t="shared" si="43"/>
        <v>no</v>
      </c>
    </row>
    <row r="221" spans="1:14" hidden="1" x14ac:dyDescent="0.35">
      <c r="A221" t="s">
        <v>130</v>
      </c>
      <c r="B221" t="s">
        <v>116</v>
      </c>
      <c r="C221">
        <v>42.666699999999999</v>
      </c>
      <c r="D221">
        <v>-73.033299999999997</v>
      </c>
      <c r="E221" t="s">
        <v>364</v>
      </c>
      <c r="F221">
        <v>115</v>
      </c>
      <c r="G221">
        <f t="shared" si="40"/>
        <v>0.56519999999999726</v>
      </c>
      <c r="H221">
        <f t="shared" si="41"/>
        <v>-0.44350000000000023</v>
      </c>
      <c r="I221">
        <f t="shared" si="36"/>
        <v>62.737199999999696</v>
      </c>
      <c r="J221">
        <f t="shared" si="37"/>
        <v>-36.588750000000019</v>
      </c>
      <c r="K221">
        <f t="shared" si="44"/>
        <v>72.627080971235955</v>
      </c>
      <c r="L221" t="str">
        <f t="shared" si="45"/>
        <v>No</v>
      </c>
      <c r="M221" t="str">
        <f t="shared" si="42"/>
        <v>No</v>
      </c>
      <c r="N221" t="str">
        <f t="shared" si="43"/>
        <v>no</v>
      </c>
    </row>
    <row r="223" spans="1:14" x14ac:dyDescent="0.35">
      <c r="A223" s="9" t="s">
        <v>424</v>
      </c>
      <c r="B223" s="9"/>
      <c r="C223" s="9"/>
      <c r="D223" s="9"/>
      <c r="E223" s="9"/>
      <c r="F223" s="9"/>
      <c r="G223">
        <f>SUMIFS(F121:F221,L121:L221,"Yes")</f>
        <v>373892</v>
      </c>
    </row>
    <row r="225" spans="7:7" x14ac:dyDescent="0.35">
      <c r="G225">
        <f>SUMIFS(F121:F221,M121:M221,"Yes")</f>
        <v>183916</v>
      </c>
    </row>
    <row r="226" spans="7:7" x14ac:dyDescent="0.35">
      <c r="G226">
        <f>SUMIFS(F121:F221,N121:N221,"Yes")</f>
        <v>268046</v>
      </c>
    </row>
  </sheetData>
  <autoFilter ref="A120:N221" xr:uid="{325F066A-6D4A-4CCF-A900-D745CA4AB042}">
    <filterColumn colId="11">
      <filters>
        <filter val="Yes"/>
      </filters>
    </filterColumn>
  </autoFilter>
  <mergeCells count="2">
    <mergeCell ref="A111:F111"/>
    <mergeCell ref="A223:F2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E049-BE50-4147-A341-4CA35ED6CA97}">
  <sheetPr filterMode="1"/>
  <dimension ref="A5:N76"/>
  <sheetViews>
    <sheetView tabSelected="1" zoomScale="63" workbookViewId="0">
      <selection activeCell="R34" sqref="R34"/>
    </sheetView>
  </sheetViews>
  <sheetFormatPr defaultRowHeight="14.5" x14ac:dyDescent="0.35"/>
  <cols>
    <col min="6" max="6" width="22.90625" bestFit="1" customWidth="1"/>
    <col min="7" max="7" width="13.7265625" bestFit="1" customWidth="1"/>
    <col min="8" max="8" width="15.1796875" bestFit="1" customWidth="1"/>
    <col min="9" max="9" width="13.453125" bestFit="1" customWidth="1"/>
    <col min="10" max="10" width="15" bestFit="1" customWidth="1"/>
    <col min="11" max="11" width="20.1796875" bestFit="1" customWidth="1"/>
    <col min="12" max="12" width="14.7265625" bestFit="1" customWidth="1"/>
  </cols>
  <sheetData>
    <row r="5" spans="1:14" x14ac:dyDescent="0.35">
      <c r="A5" t="s">
        <v>390</v>
      </c>
      <c r="B5" t="s">
        <v>302</v>
      </c>
      <c r="C5">
        <v>42.318058333333333</v>
      </c>
      <c r="D5">
        <v>-71.840493333333342</v>
      </c>
      <c r="E5" t="s">
        <v>416</v>
      </c>
      <c r="F5" t="s">
        <v>405</v>
      </c>
      <c r="G5" t="s">
        <v>408</v>
      </c>
      <c r="H5" t="s">
        <v>409</v>
      </c>
    </row>
    <row r="6" spans="1:14" x14ac:dyDescent="0.35">
      <c r="F6" t="s">
        <v>406</v>
      </c>
      <c r="G6">
        <v>111</v>
      </c>
    </row>
    <row r="7" spans="1:14" x14ac:dyDescent="0.35">
      <c r="F7" t="s">
        <v>407</v>
      </c>
      <c r="G7">
        <v>82.5</v>
      </c>
    </row>
    <row r="10" spans="1:14" x14ac:dyDescent="0.35">
      <c r="A10" s="1" t="s">
        <v>0</v>
      </c>
      <c r="B10" s="1" t="s">
        <v>389</v>
      </c>
      <c r="C10" s="1" t="s">
        <v>2</v>
      </c>
      <c r="D10" s="1" t="s">
        <v>3</v>
      </c>
      <c r="E10" s="2" t="s">
        <v>361</v>
      </c>
      <c r="F10" s="2" t="s">
        <v>365</v>
      </c>
      <c r="G10" s="2" t="s">
        <v>410</v>
      </c>
      <c r="H10" s="2" t="s">
        <v>411</v>
      </c>
      <c r="I10" s="2" t="s">
        <v>412</v>
      </c>
      <c r="J10" s="2" t="s">
        <v>413</v>
      </c>
      <c r="K10" s="2" t="s">
        <v>414</v>
      </c>
      <c r="L10" t="s">
        <v>415</v>
      </c>
      <c r="M10" s="8" t="s">
        <v>429</v>
      </c>
      <c r="N10" s="8" t="s">
        <v>426</v>
      </c>
    </row>
    <row r="11" spans="1:14" hidden="1" x14ac:dyDescent="0.35">
      <c r="A11" t="s">
        <v>301</v>
      </c>
      <c r="B11" t="s">
        <v>302</v>
      </c>
      <c r="C11">
        <v>42.633299999999998</v>
      </c>
      <c r="D11">
        <v>-71.7667</v>
      </c>
      <c r="E11" t="s">
        <v>363</v>
      </c>
      <c r="F11">
        <v>6522</v>
      </c>
      <c r="G11">
        <f>C11-$C$5</f>
        <v>0.31524166666666531</v>
      </c>
      <c r="H11">
        <f>D11-$D$5</f>
        <v>7.3793333333341593E-2</v>
      </c>
      <c r="I11">
        <f>111*G11</f>
        <v>34.991824999999849</v>
      </c>
      <c r="J11">
        <f>82.5*H11</f>
        <v>6.0879500000006814</v>
      </c>
      <c r="K11">
        <f>SQRT(I11^2+J11^2)</f>
        <v>35.517473897127353</v>
      </c>
      <c r="L11" t="str">
        <f>IF(K11&lt;=15,"Yes","No")</f>
        <v>No</v>
      </c>
      <c r="M11" t="str">
        <f>IF(K11&lt;=5,"yes","no")</f>
        <v>no</v>
      </c>
      <c r="N11" t="str">
        <f>IF(K11&lt;=10,"Yes","No")</f>
        <v>No</v>
      </c>
    </row>
    <row r="12" spans="1:14" hidden="1" x14ac:dyDescent="0.35">
      <c r="A12" t="s">
        <v>303</v>
      </c>
      <c r="B12" t="s">
        <v>302</v>
      </c>
      <c r="C12">
        <v>42.616700000000002</v>
      </c>
      <c r="D12">
        <v>-72.2667</v>
      </c>
      <c r="E12" t="s">
        <v>363</v>
      </c>
      <c r="F12">
        <v>12105</v>
      </c>
      <c r="G12">
        <f t="shared" ref="G12:G70" si="0">C12-$C$5</f>
        <v>0.29864166666666847</v>
      </c>
      <c r="H12">
        <f t="shared" ref="H12:H70" si="1">D12-$D$5</f>
        <v>-0.42620666666665841</v>
      </c>
      <c r="I12">
        <f t="shared" ref="I12:I70" si="2">111*G12</f>
        <v>33.1492250000002</v>
      </c>
      <c r="J12">
        <f t="shared" ref="J12:J70" si="3">82.5*H12</f>
        <v>-35.162049999999319</v>
      </c>
      <c r="K12">
        <f t="shared" ref="K12:K70" si="4">SQRT(I12^2+J12^2)</f>
        <v>48.324330086438763</v>
      </c>
      <c r="L12" t="str">
        <f t="shared" ref="L12:L70" si="5">IF(K12&lt;=15,"Yes","No")</f>
        <v>No</v>
      </c>
      <c r="M12" t="str">
        <f t="shared" ref="M12:M70" si="6">IF(K12&lt;=5,"yes","no")</f>
        <v>no</v>
      </c>
      <c r="N12" t="str">
        <f t="shared" ref="N12:N70" si="7">IF(K12&lt;=10,"Yes","No")</f>
        <v>No</v>
      </c>
    </row>
    <row r="13" spans="1:14" x14ac:dyDescent="0.35">
      <c r="A13" t="s">
        <v>304</v>
      </c>
      <c r="B13" t="s">
        <v>302</v>
      </c>
      <c r="C13">
        <v>42.216700000000003</v>
      </c>
      <c r="D13">
        <v>-71.833299999999994</v>
      </c>
      <c r="E13" t="s">
        <v>363</v>
      </c>
      <c r="F13">
        <v>17323</v>
      </c>
      <c r="G13">
        <f t="shared" si="0"/>
        <v>-0.10135833333333011</v>
      </c>
      <c r="H13">
        <f t="shared" si="1"/>
        <v>7.1933333333475957E-3</v>
      </c>
      <c r="I13">
        <f t="shared" si="2"/>
        <v>-11.250774999999642</v>
      </c>
      <c r="J13">
        <f t="shared" si="3"/>
        <v>0.59345000000117665</v>
      </c>
      <c r="K13">
        <f t="shared" si="4"/>
        <v>11.266415623574266</v>
      </c>
      <c r="L13" t="str">
        <f t="shared" si="5"/>
        <v>Yes</v>
      </c>
      <c r="M13" t="str">
        <f t="shared" si="6"/>
        <v>no</v>
      </c>
      <c r="N13" t="str">
        <f t="shared" si="7"/>
        <v>No</v>
      </c>
    </row>
    <row r="14" spans="1:14" x14ac:dyDescent="0.35">
      <c r="A14" t="s">
        <v>305</v>
      </c>
      <c r="B14" t="s">
        <v>302</v>
      </c>
      <c r="C14">
        <v>42.4</v>
      </c>
      <c r="D14">
        <v>-71.8</v>
      </c>
      <c r="E14" t="s">
        <v>363</v>
      </c>
      <c r="F14">
        <v>5631</v>
      </c>
      <c r="G14">
        <f t="shared" si="0"/>
        <v>8.1941666666665469E-2</v>
      </c>
      <c r="H14">
        <f t="shared" si="1"/>
        <v>4.0493333333344594E-2</v>
      </c>
      <c r="I14">
        <f t="shared" si="2"/>
        <v>9.0955249999998671</v>
      </c>
      <c r="J14">
        <f t="shared" si="3"/>
        <v>3.340700000000929</v>
      </c>
      <c r="K14">
        <f t="shared" si="4"/>
        <v>9.6896259739800481</v>
      </c>
      <c r="L14" t="str">
        <f t="shared" si="5"/>
        <v>Yes</v>
      </c>
      <c r="M14" t="str">
        <f t="shared" si="6"/>
        <v>no</v>
      </c>
      <c r="N14" t="str">
        <f t="shared" si="7"/>
        <v>Yes</v>
      </c>
    </row>
    <row r="15" spans="1:14" hidden="1" x14ac:dyDescent="0.35">
      <c r="A15" t="s">
        <v>306</v>
      </c>
      <c r="B15" t="s">
        <v>302</v>
      </c>
      <c r="C15">
        <v>42.366700000000002</v>
      </c>
      <c r="D15">
        <v>-71.599999999999994</v>
      </c>
      <c r="E15" t="s">
        <v>363</v>
      </c>
      <c r="F15">
        <v>3479</v>
      </c>
      <c r="G15">
        <f t="shared" si="0"/>
        <v>4.864166666666847E-2</v>
      </c>
      <c r="H15">
        <f t="shared" si="1"/>
        <v>0.24049333333334744</v>
      </c>
      <c r="I15">
        <f t="shared" si="2"/>
        <v>5.3992250000002002</v>
      </c>
      <c r="J15">
        <f t="shared" si="3"/>
        <v>19.840700000001164</v>
      </c>
      <c r="K15">
        <f t="shared" si="4"/>
        <v>20.562222814926244</v>
      </c>
      <c r="L15" t="str">
        <f t="shared" si="5"/>
        <v>No</v>
      </c>
      <c r="M15" t="str">
        <f t="shared" si="6"/>
        <v>no</v>
      </c>
      <c r="N15" t="str">
        <f t="shared" si="7"/>
        <v>No</v>
      </c>
    </row>
    <row r="16" spans="1:14" hidden="1" x14ac:dyDescent="0.35">
      <c r="A16" t="s">
        <v>307</v>
      </c>
      <c r="B16" t="s">
        <v>302</v>
      </c>
      <c r="C16">
        <v>42.033299999999997</v>
      </c>
      <c r="D16">
        <v>-71.5167</v>
      </c>
      <c r="E16" t="s">
        <v>363</v>
      </c>
      <c r="F16">
        <v>9374</v>
      </c>
      <c r="G16">
        <f t="shared" si="0"/>
        <v>-0.28475833333333611</v>
      </c>
      <c r="H16">
        <f t="shared" si="1"/>
        <v>0.32379333333334159</v>
      </c>
      <c r="I16">
        <f t="shared" si="2"/>
        <v>-31.608175000000308</v>
      </c>
      <c r="J16">
        <f t="shared" si="3"/>
        <v>26.712950000000681</v>
      </c>
      <c r="K16">
        <f t="shared" si="4"/>
        <v>41.384277504061622</v>
      </c>
      <c r="L16" t="str">
        <f t="shared" si="5"/>
        <v>No</v>
      </c>
      <c r="M16" t="str">
        <f t="shared" si="6"/>
        <v>no</v>
      </c>
      <c r="N16" t="str">
        <f t="shared" si="7"/>
        <v>No</v>
      </c>
    </row>
    <row r="17" spans="1:14" hidden="1" x14ac:dyDescent="0.35">
      <c r="A17" t="s">
        <v>308</v>
      </c>
      <c r="B17" t="s">
        <v>302</v>
      </c>
      <c r="C17">
        <v>42.383299999999998</v>
      </c>
      <c r="D17">
        <v>-71.583299999999994</v>
      </c>
      <c r="E17" t="s">
        <v>363</v>
      </c>
      <c r="F17">
        <v>5809</v>
      </c>
      <c r="G17">
        <f t="shared" si="0"/>
        <v>6.524166666666531E-2</v>
      </c>
      <c r="H17">
        <f t="shared" si="1"/>
        <v>0.2571933333333476</v>
      </c>
      <c r="I17">
        <f t="shared" si="2"/>
        <v>7.2418249999998494</v>
      </c>
      <c r="J17">
        <f t="shared" si="3"/>
        <v>21.218450000001177</v>
      </c>
      <c r="K17">
        <f t="shared" si="4"/>
        <v>22.420228583428241</v>
      </c>
      <c r="L17" t="str">
        <f t="shared" si="5"/>
        <v>No</v>
      </c>
      <c r="M17" t="str">
        <f t="shared" si="6"/>
        <v>no</v>
      </c>
      <c r="N17" t="str">
        <f t="shared" si="7"/>
        <v>No</v>
      </c>
    </row>
    <row r="18" spans="1:14" x14ac:dyDescent="0.35">
      <c r="A18" t="s">
        <v>309</v>
      </c>
      <c r="B18" t="s">
        <v>302</v>
      </c>
      <c r="C18">
        <v>42.366700000000002</v>
      </c>
      <c r="D18">
        <v>-71.7333</v>
      </c>
      <c r="E18" t="s">
        <v>363</v>
      </c>
      <c r="F18">
        <v>5064</v>
      </c>
      <c r="G18">
        <f t="shared" si="0"/>
        <v>4.864166666666847E-2</v>
      </c>
      <c r="H18">
        <f t="shared" si="1"/>
        <v>0.10719333333334191</v>
      </c>
      <c r="I18">
        <f t="shared" si="2"/>
        <v>5.3992250000002002</v>
      </c>
      <c r="J18">
        <f t="shared" si="3"/>
        <v>8.8434500000007077</v>
      </c>
      <c r="K18">
        <f t="shared" si="4"/>
        <v>10.361382074952148</v>
      </c>
      <c r="L18" t="str">
        <f t="shared" si="5"/>
        <v>Yes</v>
      </c>
      <c r="M18" t="str">
        <f t="shared" si="6"/>
        <v>no</v>
      </c>
      <c r="N18" t="str">
        <f t="shared" si="7"/>
        <v>No</v>
      </c>
    </row>
    <row r="19" spans="1:14" hidden="1" x14ac:dyDescent="0.35">
      <c r="A19" t="s">
        <v>310</v>
      </c>
      <c r="B19" t="s">
        <v>302</v>
      </c>
      <c r="C19">
        <v>42.166699999999999</v>
      </c>
      <c r="D19">
        <v>-72.116699999999994</v>
      </c>
      <c r="E19" t="s">
        <v>363</v>
      </c>
      <c r="F19">
        <v>3500</v>
      </c>
      <c r="G19">
        <f t="shared" si="0"/>
        <v>-0.15135833333333437</v>
      </c>
      <c r="H19">
        <f t="shared" si="1"/>
        <v>-0.27620666666665272</v>
      </c>
      <c r="I19">
        <f t="shared" si="2"/>
        <v>-16.800775000000115</v>
      </c>
      <c r="J19">
        <f t="shared" si="3"/>
        <v>-22.78704999999885</v>
      </c>
      <c r="K19">
        <f t="shared" si="4"/>
        <v>28.31105240543128</v>
      </c>
      <c r="L19" t="str">
        <f t="shared" si="5"/>
        <v>No</v>
      </c>
      <c r="M19" t="str">
        <f t="shared" si="6"/>
        <v>no</v>
      </c>
      <c r="N19" t="str">
        <f t="shared" si="7"/>
        <v>No</v>
      </c>
    </row>
    <row r="20" spans="1:14" x14ac:dyDescent="0.35">
      <c r="A20" t="s">
        <v>311</v>
      </c>
      <c r="B20" t="s">
        <v>302</v>
      </c>
      <c r="C20">
        <v>42.216700000000003</v>
      </c>
      <c r="D20">
        <v>-71.900000000000006</v>
      </c>
      <c r="E20" t="s">
        <v>363</v>
      </c>
      <c r="F20">
        <v>13606</v>
      </c>
      <c r="G20">
        <f t="shared" si="0"/>
        <v>-0.10135833333333011</v>
      </c>
      <c r="H20">
        <f t="shared" si="1"/>
        <v>-5.9506666666663932E-2</v>
      </c>
      <c r="I20">
        <f t="shared" si="2"/>
        <v>-11.250774999999642</v>
      </c>
      <c r="J20">
        <f t="shared" si="3"/>
        <v>-4.9092999999997744</v>
      </c>
      <c r="K20">
        <f t="shared" si="4"/>
        <v>12.275225643164966</v>
      </c>
      <c r="L20" t="str">
        <f t="shared" si="5"/>
        <v>Yes</v>
      </c>
      <c r="M20" t="str">
        <f t="shared" si="6"/>
        <v>no</v>
      </c>
      <c r="N20" t="str">
        <f t="shared" si="7"/>
        <v>No</v>
      </c>
    </row>
    <row r="21" spans="1:14" hidden="1" x14ac:dyDescent="0.35">
      <c r="A21" t="s">
        <v>312</v>
      </c>
      <c r="B21" t="s">
        <v>302</v>
      </c>
      <c r="C21">
        <v>42.416699999999999</v>
      </c>
      <c r="D21">
        <v>-71.683300000000003</v>
      </c>
      <c r="E21" t="s">
        <v>363</v>
      </c>
      <c r="F21">
        <v>15740</v>
      </c>
      <c r="G21">
        <f t="shared" si="0"/>
        <v>9.8641666666665628E-2</v>
      </c>
      <c r="H21">
        <f t="shared" si="1"/>
        <v>0.15719333333333907</v>
      </c>
      <c r="I21">
        <f t="shared" si="2"/>
        <v>10.949224999999885</v>
      </c>
      <c r="J21">
        <f t="shared" si="3"/>
        <v>12.968450000000473</v>
      </c>
      <c r="K21">
        <f t="shared" si="4"/>
        <v>16.972513765000599</v>
      </c>
      <c r="L21" t="str">
        <f t="shared" si="5"/>
        <v>No</v>
      </c>
      <c r="M21" t="str">
        <f t="shared" si="6"/>
        <v>no</v>
      </c>
      <c r="N21" t="str">
        <f t="shared" si="7"/>
        <v>No</v>
      </c>
    </row>
    <row r="22" spans="1:14" hidden="1" x14ac:dyDescent="0.35">
      <c r="A22" t="s">
        <v>313</v>
      </c>
      <c r="B22" t="s">
        <v>302</v>
      </c>
      <c r="C22">
        <v>42.083300000000001</v>
      </c>
      <c r="D22">
        <v>-71.75</v>
      </c>
      <c r="E22" t="s">
        <v>363</v>
      </c>
      <c r="F22">
        <v>9452</v>
      </c>
      <c r="G22">
        <f t="shared" si="0"/>
        <v>-0.23475833333333185</v>
      </c>
      <c r="H22">
        <f t="shared" si="1"/>
        <v>9.0493333333341752E-2</v>
      </c>
      <c r="I22">
        <f t="shared" si="2"/>
        <v>-26.058174999999835</v>
      </c>
      <c r="J22">
        <f t="shared" si="3"/>
        <v>7.4657000000006946</v>
      </c>
      <c r="K22">
        <f t="shared" si="4"/>
        <v>27.106551990628148</v>
      </c>
      <c r="L22" t="str">
        <f t="shared" si="5"/>
        <v>No</v>
      </c>
      <c r="M22" t="str">
        <f t="shared" si="6"/>
        <v>no</v>
      </c>
      <c r="N22" t="str">
        <f t="shared" si="7"/>
        <v>No</v>
      </c>
    </row>
    <row r="23" spans="1:14" hidden="1" x14ac:dyDescent="0.35">
      <c r="A23" t="s">
        <v>314</v>
      </c>
      <c r="B23" t="s">
        <v>302</v>
      </c>
      <c r="C23">
        <v>42.033299999999997</v>
      </c>
      <c r="D23">
        <v>-71.833299999999994</v>
      </c>
      <c r="E23" t="s">
        <v>363</v>
      </c>
      <c r="F23">
        <v>11984</v>
      </c>
      <c r="G23">
        <f t="shared" si="0"/>
        <v>-0.28475833333333611</v>
      </c>
      <c r="H23">
        <f t="shared" si="1"/>
        <v>7.1933333333475957E-3</v>
      </c>
      <c r="I23">
        <f t="shared" si="2"/>
        <v>-31.608175000000308</v>
      </c>
      <c r="J23">
        <f t="shared" si="3"/>
        <v>0.59345000000117665</v>
      </c>
      <c r="K23">
        <f t="shared" si="4"/>
        <v>31.613745582153751</v>
      </c>
      <c r="L23" t="str">
        <f t="shared" si="5"/>
        <v>No</v>
      </c>
      <c r="M23" t="str">
        <f t="shared" si="6"/>
        <v>no</v>
      </c>
      <c r="N23" t="str">
        <f t="shared" si="7"/>
        <v>No</v>
      </c>
    </row>
    <row r="24" spans="1:14" hidden="1" x14ac:dyDescent="0.35">
      <c r="A24" t="s">
        <v>315</v>
      </c>
      <c r="B24" t="s">
        <v>302</v>
      </c>
      <c r="C24">
        <v>42.166699999999999</v>
      </c>
      <c r="D24">
        <v>-72.05</v>
      </c>
      <c r="E24" t="s">
        <v>363</v>
      </c>
      <c r="F24">
        <v>2237</v>
      </c>
      <c r="G24">
        <f t="shared" si="0"/>
        <v>-0.15135833333333437</v>
      </c>
      <c r="H24">
        <f t="shared" si="1"/>
        <v>-0.20950666666665541</v>
      </c>
      <c r="I24">
        <f t="shared" si="2"/>
        <v>-16.800775000000115</v>
      </c>
      <c r="J24">
        <f t="shared" si="3"/>
        <v>-17.284299999999071</v>
      </c>
      <c r="K24">
        <f t="shared" si="4"/>
        <v>24.104212641996764</v>
      </c>
      <c r="L24" t="str">
        <f t="shared" si="5"/>
        <v>No</v>
      </c>
      <c r="M24" t="str">
        <f t="shared" si="6"/>
        <v>no</v>
      </c>
      <c r="N24" t="str">
        <f t="shared" si="7"/>
        <v>No</v>
      </c>
    </row>
    <row r="25" spans="1:14" hidden="1" x14ac:dyDescent="0.35">
      <c r="A25" t="s">
        <v>316</v>
      </c>
      <c r="B25" t="s">
        <v>302</v>
      </c>
      <c r="C25">
        <v>42.583300000000001</v>
      </c>
      <c r="D25">
        <v>-71.8</v>
      </c>
      <c r="E25" t="s">
        <v>363</v>
      </c>
      <c r="F25">
        <v>42145</v>
      </c>
      <c r="G25">
        <f t="shared" si="0"/>
        <v>0.26524166666666815</v>
      </c>
      <c r="H25">
        <f t="shared" si="1"/>
        <v>4.0493333333344594E-2</v>
      </c>
      <c r="I25">
        <f t="shared" si="2"/>
        <v>29.441825000000165</v>
      </c>
      <c r="J25">
        <f t="shared" si="3"/>
        <v>3.340700000000929</v>
      </c>
      <c r="K25">
        <f t="shared" si="4"/>
        <v>29.630749835612345</v>
      </c>
      <c r="L25" t="str">
        <f t="shared" si="5"/>
        <v>No</v>
      </c>
      <c r="M25" t="str">
        <f t="shared" si="6"/>
        <v>no</v>
      </c>
      <c r="N25" t="str">
        <f t="shared" si="7"/>
        <v>No</v>
      </c>
    </row>
    <row r="26" spans="1:14" hidden="1" x14ac:dyDescent="0.35">
      <c r="A26" t="s">
        <v>317</v>
      </c>
      <c r="B26" t="s">
        <v>302</v>
      </c>
      <c r="C26">
        <v>42.583300000000001</v>
      </c>
      <c r="D26">
        <v>-71.966700000000003</v>
      </c>
      <c r="E26" t="s">
        <v>363</v>
      </c>
      <c r="F26">
        <v>21381</v>
      </c>
      <c r="G26">
        <f t="shared" si="0"/>
        <v>0.26524166666666815</v>
      </c>
      <c r="H26">
        <f t="shared" si="1"/>
        <v>-0.12620666666666125</v>
      </c>
      <c r="I26">
        <f t="shared" si="2"/>
        <v>29.441825000000165</v>
      </c>
      <c r="J26">
        <f t="shared" si="3"/>
        <v>-10.412049999999553</v>
      </c>
      <c r="K26">
        <f t="shared" si="4"/>
        <v>31.228702255026953</v>
      </c>
      <c r="L26" t="str">
        <f t="shared" si="5"/>
        <v>No</v>
      </c>
      <c r="M26" t="str">
        <f t="shared" si="6"/>
        <v>no</v>
      </c>
      <c r="N26" t="str">
        <f t="shared" si="7"/>
        <v>No</v>
      </c>
    </row>
    <row r="27" spans="1:14" x14ac:dyDescent="0.35">
      <c r="A27" t="s">
        <v>318</v>
      </c>
      <c r="B27" t="s">
        <v>302</v>
      </c>
      <c r="C27">
        <v>42.2333</v>
      </c>
      <c r="D27">
        <v>-71.7</v>
      </c>
      <c r="E27" t="s">
        <v>363</v>
      </c>
      <c r="F27">
        <v>20352</v>
      </c>
      <c r="G27">
        <f t="shared" si="0"/>
        <v>-8.4758333333333269E-2</v>
      </c>
      <c r="H27">
        <f t="shared" si="1"/>
        <v>0.14049333333333891</v>
      </c>
      <c r="I27">
        <f t="shared" si="2"/>
        <v>-9.4081749999999928</v>
      </c>
      <c r="J27">
        <f t="shared" si="3"/>
        <v>11.59070000000046</v>
      </c>
      <c r="K27">
        <f t="shared" si="4"/>
        <v>14.928432044948176</v>
      </c>
      <c r="L27" t="str">
        <f t="shared" si="5"/>
        <v>Yes</v>
      </c>
      <c r="M27" t="str">
        <f t="shared" si="6"/>
        <v>no</v>
      </c>
      <c r="N27" t="str">
        <f t="shared" si="7"/>
        <v>No</v>
      </c>
    </row>
    <row r="28" spans="1:14" hidden="1" x14ac:dyDescent="0.35">
      <c r="A28" t="s">
        <v>319</v>
      </c>
      <c r="B28" t="s">
        <v>302</v>
      </c>
      <c r="C28">
        <v>42.3</v>
      </c>
      <c r="D28">
        <v>-72.25</v>
      </c>
      <c r="E28" t="s">
        <v>363</v>
      </c>
      <c r="F28">
        <v>2722</v>
      </c>
      <c r="G28">
        <f t="shared" si="0"/>
        <v>-1.8058333333335952E-2</v>
      </c>
      <c r="H28">
        <f t="shared" si="1"/>
        <v>-0.40950666666665825</v>
      </c>
      <c r="I28">
        <f t="shared" si="2"/>
        <v>-2.0044750000002907</v>
      </c>
      <c r="J28">
        <f t="shared" si="3"/>
        <v>-33.784299999999305</v>
      </c>
      <c r="K28">
        <f t="shared" si="4"/>
        <v>33.843712067614263</v>
      </c>
      <c r="L28" t="str">
        <f t="shared" si="5"/>
        <v>No</v>
      </c>
      <c r="M28" t="str">
        <f t="shared" si="6"/>
        <v>no</v>
      </c>
      <c r="N28" t="str">
        <f t="shared" si="7"/>
        <v>No</v>
      </c>
    </row>
    <row r="29" spans="1:14" hidden="1" x14ac:dyDescent="0.35">
      <c r="A29" t="s">
        <v>320</v>
      </c>
      <c r="B29" t="s">
        <v>302</v>
      </c>
      <c r="C29">
        <v>42.5</v>
      </c>
      <c r="D29">
        <v>-71.616699999999994</v>
      </c>
      <c r="E29" t="s">
        <v>363</v>
      </c>
      <c r="F29">
        <v>7004</v>
      </c>
      <c r="G29">
        <f t="shared" si="0"/>
        <v>0.18194166666666689</v>
      </c>
      <c r="H29">
        <f t="shared" si="1"/>
        <v>0.22379333333334728</v>
      </c>
      <c r="I29">
        <f t="shared" si="2"/>
        <v>20.195525000000025</v>
      </c>
      <c r="J29">
        <f t="shared" si="3"/>
        <v>18.46295000000115</v>
      </c>
      <c r="K29">
        <f t="shared" si="4"/>
        <v>27.36310933955</v>
      </c>
      <c r="L29" t="str">
        <f t="shared" si="5"/>
        <v>No</v>
      </c>
      <c r="M29" t="str">
        <f t="shared" si="6"/>
        <v>no</v>
      </c>
      <c r="N29" t="str">
        <f t="shared" si="7"/>
        <v>No</v>
      </c>
    </row>
    <row r="30" spans="1:14" x14ac:dyDescent="0.35">
      <c r="A30" t="s">
        <v>321</v>
      </c>
      <c r="B30" t="s">
        <v>302</v>
      </c>
      <c r="C30">
        <v>42.35</v>
      </c>
      <c r="D30">
        <v>-71.833299999999994</v>
      </c>
      <c r="E30" t="s">
        <v>363</v>
      </c>
      <c r="F30">
        <v>20326</v>
      </c>
      <c r="G30">
        <f t="shared" si="0"/>
        <v>3.1941666666668311E-2</v>
      </c>
      <c r="H30">
        <f t="shared" si="1"/>
        <v>7.1933333333475957E-3</v>
      </c>
      <c r="I30">
        <f t="shared" si="2"/>
        <v>3.5455250000001826</v>
      </c>
      <c r="J30">
        <f t="shared" si="3"/>
        <v>0.59345000000117665</v>
      </c>
      <c r="K30">
        <f t="shared" si="4"/>
        <v>3.5948477614674719</v>
      </c>
      <c r="L30" t="str">
        <f t="shared" si="5"/>
        <v>Yes</v>
      </c>
      <c r="M30" t="str">
        <f t="shared" si="6"/>
        <v>yes</v>
      </c>
      <c r="N30" t="str">
        <f t="shared" si="7"/>
        <v>Yes</v>
      </c>
    </row>
    <row r="31" spans="1:14" hidden="1" x14ac:dyDescent="0.35">
      <c r="A31" t="s">
        <v>322</v>
      </c>
      <c r="B31" t="s">
        <v>302</v>
      </c>
      <c r="C31">
        <v>42.133299999999998</v>
      </c>
      <c r="D31">
        <v>-71.566699999999997</v>
      </c>
      <c r="E31" t="s">
        <v>363</v>
      </c>
      <c r="F31">
        <v>6063</v>
      </c>
      <c r="G31">
        <f t="shared" si="0"/>
        <v>-0.18475833333333469</v>
      </c>
      <c r="H31">
        <f t="shared" si="1"/>
        <v>0.27379333333334444</v>
      </c>
      <c r="I31">
        <f t="shared" si="2"/>
        <v>-20.508175000000151</v>
      </c>
      <c r="J31">
        <f t="shared" si="3"/>
        <v>22.587950000000916</v>
      </c>
      <c r="K31">
        <f t="shared" si="4"/>
        <v>30.509026976178255</v>
      </c>
      <c r="L31" t="str">
        <f t="shared" si="5"/>
        <v>No</v>
      </c>
      <c r="M31" t="str">
        <f t="shared" si="6"/>
        <v>no</v>
      </c>
      <c r="N31" t="str">
        <f t="shared" si="7"/>
        <v>No</v>
      </c>
    </row>
    <row r="32" spans="1:14" hidden="1" x14ac:dyDescent="0.35">
      <c r="A32" t="s">
        <v>323</v>
      </c>
      <c r="B32" t="s">
        <v>302</v>
      </c>
      <c r="C32">
        <v>42.45</v>
      </c>
      <c r="D32">
        <v>-72.0167</v>
      </c>
      <c r="E32" t="s">
        <v>363</v>
      </c>
      <c r="F32">
        <v>4433</v>
      </c>
      <c r="G32">
        <f t="shared" si="0"/>
        <v>0.13194166666666973</v>
      </c>
      <c r="H32">
        <f t="shared" si="1"/>
        <v>-0.17620666666665841</v>
      </c>
      <c r="I32">
        <f t="shared" si="2"/>
        <v>14.64552500000034</v>
      </c>
      <c r="J32">
        <f t="shared" si="3"/>
        <v>-14.537049999999319</v>
      </c>
      <c r="K32">
        <f t="shared" si="4"/>
        <v>20.635339232203457</v>
      </c>
      <c r="L32" t="str">
        <f t="shared" si="5"/>
        <v>No</v>
      </c>
      <c r="M32" t="str">
        <f t="shared" si="6"/>
        <v>no</v>
      </c>
      <c r="N32" t="str">
        <f t="shared" si="7"/>
        <v>No</v>
      </c>
    </row>
    <row r="33" spans="1:14" hidden="1" x14ac:dyDescent="0.35">
      <c r="A33" t="s">
        <v>324</v>
      </c>
      <c r="B33" t="s">
        <v>302</v>
      </c>
      <c r="C33">
        <v>42.45</v>
      </c>
      <c r="D33">
        <v>-71.666700000000006</v>
      </c>
      <c r="E33" t="s">
        <v>363</v>
      </c>
      <c r="F33">
        <v>8993</v>
      </c>
      <c r="G33">
        <f t="shared" si="0"/>
        <v>0.13194166666666973</v>
      </c>
      <c r="H33">
        <f t="shared" si="1"/>
        <v>0.17379333333333591</v>
      </c>
      <c r="I33">
        <f t="shared" si="2"/>
        <v>14.64552500000034</v>
      </c>
      <c r="J33">
        <f t="shared" si="3"/>
        <v>14.337950000000212</v>
      </c>
      <c r="K33">
        <f t="shared" si="4"/>
        <v>20.495565684511885</v>
      </c>
      <c r="L33" t="str">
        <f t="shared" si="5"/>
        <v>No</v>
      </c>
      <c r="M33" t="str">
        <f t="shared" si="6"/>
        <v>no</v>
      </c>
      <c r="N33" t="str">
        <f t="shared" si="7"/>
        <v>No</v>
      </c>
    </row>
    <row r="34" spans="1:14" x14ac:dyDescent="0.35">
      <c r="A34" t="s">
        <v>325</v>
      </c>
      <c r="B34" t="s">
        <v>302</v>
      </c>
      <c r="C34">
        <v>42.2667</v>
      </c>
      <c r="D34">
        <v>-71.849999999999994</v>
      </c>
      <c r="E34" t="s">
        <v>363</v>
      </c>
      <c r="F34">
        <v>11224</v>
      </c>
      <c r="G34">
        <f t="shared" si="0"/>
        <v>-5.1358333333332951E-2</v>
      </c>
      <c r="H34">
        <f t="shared" si="1"/>
        <v>-9.5066666666525634E-3</v>
      </c>
      <c r="I34">
        <f t="shared" si="2"/>
        <v>-5.7007749999999575</v>
      </c>
      <c r="J34">
        <f t="shared" si="3"/>
        <v>-0.78429999999883648</v>
      </c>
      <c r="K34">
        <f t="shared" si="4"/>
        <v>5.7544732244248644</v>
      </c>
      <c r="L34" t="str">
        <f t="shared" si="5"/>
        <v>Yes</v>
      </c>
      <c r="M34" t="str">
        <f t="shared" si="6"/>
        <v>no</v>
      </c>
      <c r="N34" t="str">
        <f t="shared" si="7"/>
        <v>Yes</v>
      </c>
    </row>
    <row r="35" spans="1:14" hidden="1" x14ac:dyDescent="0.35">
      <c r="A35" t="s">
        <v>326</v>
      </c>
      <c r="B35" t="s">
        <v>302</v>
      </c>
      <c r="C35">
        <v>42.533299999999997</v>
      </c>
      <c r="D35">
        <v>-71.7667</v>
      </c>
      <c r="E35" t="s">
        <v>363</v>
      </c>
      <c r="F35">
        <v>44209</v>
      </c>
      <c r="G35">
        <f t="shared" si="0"/>
        <v>0.21524166666666389</v>
      </c>
      <c r="H35">
        <f t="shared" si="1"/>
        <v>7.3793333333341593E-2</v>
      </c>
      <c r="I35">
        <f t="shared" si="2"/>
        <v>23.891824999999692</v>
      </c>
      <c r="J35">
        <f t="shared" si="3"/>
        <v>6.0879500000006814</v>
      </c>
      <c r="K35">
        <f t="shared" si="4"/>
        <v>24.655271992681779</v>
      </c>
      <c r="L35" t="str">
        <f t="shared" si="5"/>
        <v>No</v>
      </c>
      <c r="M35" t="str">
        <f t="shared" si="6"/>
        <v>no</v>
      </c>
      <c r="N35" t="str">
        <f t="shared" si="7"/>
        <v>No</v>
      </c>
    </row>
    <row r="36" spans="1:14" hidden="1" x14ac:dyDescent="0.35">
      <c r="A36" t="s">
        <v>327</v>
      </c>
      <c r="B36" t="s">
        <v>302</v>
      </c>
      <c r="C36">
        <v>42.583300000000001</v>
      </c>
      <c r="D36">
        <v>-71.633300000000006</v>
      </c>
      <c r="E36" t="s">
        <v>363</v>
      </c>
      <c r="F36">
        <v>12007</v>
      </c>
      <c r="G36">
        <f t="shared" si="0"/>
        <v>0.26524166666666815</v>
      </c>
      <c r="H36">
        <f t="shared" si="1"/>
        <v>0.20719333333333623</v>
      </c>
      <c r="I36">
        <f t="shared" si="2"/>
        <v>29.441825000000165</v>
      </c>
      <c r="J36">
        <f t="shared" si="3"/>
        <v>17.093450000000239</v>
      </c>
      <c r="K36">
        <f t="shared" si="4"/>
        <v>34.044193223413927</v>
      </c>
      <c r="L36" t="str">
        <f t="shared" si="5"/>
        <v>No</v>
      </c>
      <c r="M36" t="str">
        <f t="shared" si="6"/>
        <v>no</v>
      </c>
      <c r="N36" t="str">
        <f t="shared" si="7"/>
        <v>No</v>
      </c>
    </row>
    <row r="37" spans="1:14" hidden="1" x14ac:dyDescent="0.35">
      <c r="A37" t="s">
        <v>328</v>
      </c>
      <c r="B37" t="s">
        <v>302</v>
      </c>
      <c r="C37">
        <v>42.1</v>
      </c>
      <c r="D37">
        <v>-71.55</v>
      </c>
      <c r="E37" t="s">
        <v>363</v>
      </c>
      <c r="F37">
        <v>6441</v>
      </c>
      <c r="G37">
        <f t="shared" si="0"/>
        <v>-0.21805833333333169</v>
      </c>
      <c r="H37">
        <f t="shared" si="1"/>
        <v>0.29049333333334459</v>
      </c>
      <c r="I37">
        <f t="shared" si="2"/>
        <v>-24.204474999999817</v>
      </c>
      <c r="J37">
        <f t="shared" si="3"/>
        <v>23.965700000000929</v>
      </c>
      <c r="K37">
        <f t="shared" si="4"/>
        <v>34.06187585139228</v>
      </c>
      <c r="L37" t="str">
        <f t="shared" si="5"/>
        <v>No</v>
      </c>
      <c r="M37" t="str">
        <f t="shared" si="6"/>
        <v>no</v>
      </c>
      <c r="N37" t="str">
        <f t="shared" si="7"/>
        <v>No</v>
      </c>
    </row>
    <row r="38" spans="1:14" hidden="1" x14ac:dyDescent="0.35">
      <c r="A38" t="s">
        <v>329</v>
      </c>
      <c r="B38" t="s">
        <v>302</v>
      </c>
      <c r="C38">
        <v>42.15</v>
      </c>
      <c r="D38">
        <v>-71.616699999999994</v>
      </c>
      <c r="E38" t="s">
        <v>363</v>
      </c>
      <c r="F38">
        <v>30640</v>
      </c>
      <c r="G38">
        <f t="shared" si="0"/>
        <v>-0.16805833333333453</v>
      </c>
      <c r="H38">
        <f t="shared" si="1"/>
        <v>0.22379333333334728</v>
      </c>
      <c r="I38">
        <f t="shared" si="2"/>
        <v>-18.654475000000133</v>
      </c>
      <c r="J38">
        <f t="shared" si="3"/>
        <v>18.46295000000115</v>
      </c>
      <c r="K38">
        <f t="shared" si="4"/>
        <v>26.246332319548429</v>
      </c>
      <c r="L38" t="str">
        <f t="shared" si="5"/>
        <v>No</v>
      </c>
      <c r="M38" t="str">
        <f t="shared" si="6"/>
        <v>no</v>
      </c>
      <c r="N38" t="str">
        <f t="shared" si="7"/>
        <v>No</v>
      </c>
    </row>
    <row r="39" spans="1:14" hidden="1" x14ac:dyDescent="0.35">
      <c r="A39" t="s">
        <v>330</v>
      </c>
      <c r="B39" t="s">
        <v>302</v>
      </c>
      <c r="C39">
        <v>42.183300000000003</v>
      </c>
      <c r="D39">
        <v>-71.75</v>
      </c>
      <c r="E39" t="s">
        <v>363</v>
      </c>
      <c r="F39">
        <v>14173</v>
      </c>
      <c r="G39">
        <f t="shared" si="0"/>
        <v>-0.13475833333333043</v>
      </c>
      <c r="H39">
        <f t="shared" si="1"/>
        <v>9.0493333333341752E-2</v>
      </c>
      <c r="I39">
        <f t="shared" si="2"/>
        <v>-14.958174999999677</v>
      </c>
      <c r="J39">
        <f t="shared" si="3"/>
        <v>7.4657000000006946</v>
      </c>
      <c r="K39">
        <f t="shared" si="4"/>
        <v>16.717765275916086</v>
      </c>
      <c r="L39" t="str">
        <f t="shared" si="5"/>
        <v>No</v>
      </c>
      <c r="M39" t="str">
        <f t="shared" si="6"/>
        <v>no</v>
      </c>
      <c r="N39" t="str">
        <f t="shared" si="7"/>
        <v>No</v>
      </c>
    </row>
    <row r="40" spans="1:14" hidden="1" x14ac:dyDescent="0.35">
      <c r="A40" t="s">
        <v>331</v>
      </c>
      <c r="B40" t="s">
        <v>302</v>
      </c>
      <c r="C40">
        <v>42.05</v>
      </c>
      <c r="D40">
        <v>-71.633300000000006</v>
      </c>
      <c r="E40" t="s">
        <v>363</v>
      </c>
      <c r="F40">
        <v>3187</v>
      </c>
      <c r="G40">
        <f t="shared" si="0"/>
        <v>-0.26805833333333595</v>
      </c>
      <c r="H40">
        <f t="shared" si="1"/>
        <v>0.20719333333333623</v>
      </c>
      <c r="I40">
        <f t="shared" si="2"/>
        <v>-29.754475000000291</v>
      </c>
      <c r="J40">
        <f t="shared" si="3"/>
        <v>17.093450000000239</v>
      </c>
      <c r="K40">
        <f t="shared" si="4"/>
        <v>34.314935748565091</v>
      </c>
      <c r="L40" t="str">
        <f t="shared" si="5"/>
        <v>No</v>
      </c>
      <c r="M40" t="str">
        <f t="shared" si="6"/>
        <v>no</v>
      </c>
      <c r="N40" t="str">
        <f t="shared" si="7"/>
        <v>No</v>
      </c>
    </row>
    <row r="41" spans="1:14" hidden="1" x14ac:dyDescent="0.35">
      <c r="A41" t="s">
        <v>332</v>
      </c>
      <c r="B41" t="s">
        <v>302</v>
      </c>
      <c r="C41">
        <v>42.35</v>
      </c>
      <c r="D41">
        <v>-72.066699999999997</v>
      </c>
      <c r="E41" t="s">
        <v>363</v>
      </c>
      <c r="F41">
        <v>1010</v>
      </c>
      <c r="G41">
        <f t="shared" si="0"/>
        <v>3.1941666666668311E-2</v>
      </c>
      <c r="H41">
        <f t="shared" si="1"/>
        <v>-0.22620666666665556</v>
      </c>
      <c r="I41">
        <f t="shared" si="2"/>
        <v>3.5455250000001826</v>
      </c>
      <c r="J41">
        <f t="shared" si="3"/>
        <v>-18.662049999999084</v>
      </c>
      <c r="K41">
        <f t="shared" si="4"/>
        <v>18.995864226933506</v>
      </c>
      <c r="L41" t="str">
        <f t="shared" si="5"/>
        <v>No</v>
      </c>
      <c r="M41" t="str">
        <f t="shared" si="6"/>
        <v>no</v>
      </c>
      <c r="N41" t="str">
        <f t="shared" si="7"/>
        <v>No</v>
      </c>
    </row>
    <row r="42" spans="1:14" hidden="1" x14ac:dyDescent="0.35">
      <c r="A42" t="s">
        <v>333</v>
      </c>
      <c r="B42" t="s">
        <v>302</v>
      </c>
      <c r="C42">
        <v>42.2</v>
      </c>
      <c r="D42">
        <v>-72.116699999999994</v>
      </c>
      <c r="E42" t="s">
        <v>363</v>
      </c>
      <c r="F42">
        <v>4797</v>
      </c>
      <c r="G42">
        <f t="shared" si="0"/>
        <v>-0.11805833333333027</v>
      </c>
      <c r="H42">
        <f t="shared" si="1"/>
        <v>-0.27620666666665272</v>
      </c>
      <c r="I42">
        <f t="shared" si="2"/>
        <v>-13.10447499999966</v>
      </c>
      <c r="J42">
        <f t="shared" si="3"/>
        <v>-22.78704999999885</v>
      </c>
      <c r="K42">
        <f t="shared" si="4"/>
        <v>26.286439711913509</v>
      </c>
      <c r="L42" t="str">
        <f t="shared" si="5"/>
        <v>No</v>
      </c>
      <c r="M42" t="str">
        <f t="shared" si="6"/>
        <v>no</v>
      </c>
      <c r="N42" t="str">
        <f t="shared" si="7"/>
        <v>No</v>
      </c>
    </row>
    <row r="43" spans="1:14" x14ac:dyDescent="0.35">
      <c r="A43" t="s">
        <v>334</v>
      </c>
      <c r="B43" t="s">
        <v>302</v>
      </c>
      <c r="C43">
        <v>42.3</v>
      </c>
      <c r="D43">
        <v>-71.666700000000006</v>
      </c>
      <c r="E43" t="s">
        <v>363</v>
      </c>
      <c r="F43">
        <v>15867</v>
      </c>
      <c r="G43">
        <f t="shared" si="0"/>
        <v>-1.8058333333335952E-2</v>
      </c>
      <c r="H43">
        <f t="shared" si="1"/>
        <v>0.17379333333333591</v>
      </c>
      <c r="I43">
        <f t="shared" si="2"/>
        <v>-2.0044750000002907</v>
      </c>
      <c r="J43">
        <f t="shared" si="3"/>
        <v>14.337950000000212</v>
      </c>
      <c r="K43">
        <f t="shared" si="4"/>
        <v>14.477386857721674</v>
      </c>
      <c r="L43" t="str">
        <f t="shared" si="5"/>
        <v>Yes</v>
      </c>
      <c r="M43" t="str">
        <f t="shared" si="6"/>
        <v>no</v>
      </c>
      <c r="N43" t="str">
        <f t="shared" si="7"/>
        <v>No</v>
      </c>
    </row>
    <row r="44" spans="1:14" hidden="1" x14ac:dyDescent="0.35">
      <c r="A44" t="s">
        <v>335</v>
      </c>
      <c r="B44" t="s">
        <v>302</v>
      </c>
      <c r="C44">
        <v>42.183300000000003</v>
      </c>
      <c r="D44">
        <v>-71.666700000000006</v>
      </c>
      <c r="E44" t="s">
        <v>363</v>
      </c>
      <c r="F44">
        <v>16719</v>
      </c>
      <c r="G44">
        <f t="shared" si="0"/>
        <v>-0.13475833333333043</v>
      </c>
      <c r="H44">
        <f t="shared" si="1"/>
        <v>0.17379333333333591</v>
      </c>
      <c r="I44">
        <f t="shared" si="2"/>
        <v>-14.958174999999677</v>
      </c>
      <c r="J44">
        <f t="shared" si="3"/>
        <v>14.337950000000212</v>
      </c>
      <c r="K44">
        <f t="shared" si="4"/>
        <v>20.720130538515473</v>
      </c>
      <c r="L44" t="str">
        <f t="shared" si="5"/>
        <v>No</v>
      </c>
      <c r="M44" t="str">
        <f t="shared" si="6"/>
        <v>no</v>
      </c>
      <c r="N44" t="str">
        <f t="shared" si="7"/>
        <v>No</v>
      </c>
    </row>
    <row r="45" spans="1:14" x14ac:dyDescent="0.35">
      <c r="A45" t="s">
        <v>336</v>
      </c>
      <c r="B45" t="s">
        <v>302</v>
      </c>
      <c r="C45">
        <v>42.4</v>
      </c>
      <c r="D45">
        <v>-71.966700000000003</v>
      </c>
      <c r="E45" t="s">
        <v>363</v>
      </c>
      <c r="F45">
        <v>1914</v>
      </c>
      <c r="G45">
        <f t="shared" si="0"/>
        <v>8.1941666666665469E-2</v>
      </c>
      <c r="H45">
        <f t="shared" si="1"/>
        <v>-0.12620666666666125</v>
      </c>
      <c r="I45">
        <f t="shared" si="2"/>
        <v>9.0955249999998671</v>
      </c>
      <c r="J45">
        <f t="shared" si="3"/>
        <v>-10.412049999999553</v>
      </c>
      <c r="K45">
        <f t="shared" si="4"/>
        <v>13.8253159178412</v>
      </c>
      <c r="L45" t="str">
        <f t="shared" si="5"/>
        <v>Yes</v>
      </c>
      <c r="M45" t="str">
        <f t="shared" si="6"/>
        <v>no</v>
      </c>
      <c r="N45" t="str">
        <f t="shared" si="7"/>
        <v>No</v>
      </c>
    </row>
    <row r="46" spans="1:14" hidden="1" x14ac:dyDescent="0.35">
      <c r="A46" t="s">
        <v>337</v>
      </c>
      <c r="B46" t="s">
        <v>302</v>
      </c>
      <c r="C46">
        <v>42.133299999999998</v>
      </c>
      <c r="D46">
        <v>-71.866699999999994</v>
      </c>
      <c r="E46" t="s">
        <v>363</v>
      </c>
      <c r="F46">
        <v>13503</v>
      </c>
      <c r="G46">
        <f t="shared" si="0"/>
        <v>-0.18475833333333469</v>
      </c>
      <c r="H46">
        <f t="shared" si="1"/>
        <v>-2.6206666666652723E-2</v>
      </c>
      <c r="I46">
        <f t="shared" si="2"/>
        <v>-20.508175000000151</v>
      </c>
      <c r="J46">
        <f t="shared" si="3"/>
        <v>-2.1620499999988496</v>
      </c>
      <c r="K46">
        <f t="shared" si="4"/>
        <v>20.621825865648418</v>
      </c>
      <c r="L46" t="str">
        <f t="shared" si="5"/>
        <v>No</v>
      </c>
      <c r="M46" t="str">
        <f t="shared" si="6"/>
        <v>no</v>
      </c>
      <c r="N46" t="str">
        <f t="shared" si="7"/>
        <v>No</v>
      </c>
    </row>
    <row r="47" spans="1:14" x14ac:dyDescent="0.35">
      <c r="A47" t="s">
        <v>338</v>
      </c>
      <c r="B47" t="s">
        <v>302</v>
      </c>
      <c r="C47">
        <v>42.333300000000001</v>
      </c>
      <c r="D47">
        <v>-71.849999999999994</v>
      </c>
      <c r="E47" t="s">
        <v>363</v>
      </c>
      <c r="F47">
        <v>5043</v>
      </c>
      <c r="G47">
        <f t="shared" si="0"/>
        <v>1.5241666666668152E-2</v>
      </c>
      <c r="H47">
        <f t="shared" si="1"/>
        <v>-9.5066666666525634E-3</v>
      </c>
      <c r="I47">
        <f t="shared" si="2"/>
        <v>1.6918250000001649</v>
      </c>
      <c r="J47">
        <f t="shared" si="3"/>
        <v>-0.78429999999883648</v>
      </c>
      <c r="K47">
        <f t="shared" si="4"/>
        <v>1.8647783569700001</v>
      </c>
      <c r="L47" t="str">
        <f t="shared" si="5"/>
        <v>Yes</v>
      </c>
      <c r="M47" t="str">
        <f t="shared" si="6"/>
        <v>yes</v>
      </c>
      <c r="N47" t="str">
        <f t="shared" si="7"/>
        <v>Yes</v>
      </c>
    </row>
    <row r="48" spans="1:14" hidden="1" x14ac:dyDescent="0.35">
      <c r="A48" t="s">
        <v>339</v>
      </c>
      <c r="B48" t="s">
        <v>302</v>
      </c>
      <c r="C48">
        <v>42.45</v>
      </c>
      <c r="D48">
        <v>-72.216700000000003</v>
      </c>
      <c r="E48" t="s">
        <v>363</v>
      </c>
      <c r="F48">
        <v>1246</v>
      </c>
      <c r="G48">
        <f t="shared" si="0"/>
        <v>0.13194166666666973</v>
      </c>
      <c r="H48">
        <f t="shared" si="1"/>
        <v>-0.37620666666666125</v>
      </c>
      <c r="I48">
        <f t="shared" si="2"/>
        <v>14.64552500000034</v>
      </c>
      <c r="J48">
        <f t="shared" si="3"/>
        <v>-31.037049999999553</v>
      </c>
      <c r="K48">
        <f t="shared" si="4"/>
        <v>34.318943387407884</v>
      </c>
      <c r="L48" t="str">
        <f t="shared" si="5"/>
        <v>No</v>
      </c>
      <c r="M48" t="str">
        <f t="shared" si="6"/>
        <v>no</v>
      </c>
      <c r="N48" t="str">
        <f t="shared" si="7"/>
        <v>No</v>
      </c>
    </row>
    <row r="49" spans="1:14" hidden="1" x14ac:dyDescent="0.35">
      <c r="A49" t="s">
        <v>340</v>
      </c>
      <c r="B49" t="s">
        <v>302</v>
      </c>
      <c r="C49">
        <v>42.7</v>
      </c>
      <c r="D49">
        <v>-72.2</v>
      </c>
      <c r="E49" t="s">
        <v>363</v>
      </c>
      <c r="F49">
        <v>1759</v>
      </c>
      <c r="G49">
        <f t="shared" si="0"/>
        <v>0.38194166666666973</v>
      </c>
      <c r="H49">
        <f t="shared" si="1"/>
        <v>-0.35950666666666109</v>
      </c>
      <c r="I49">
        <f t="shared" si="2"/>
        <v>42.39552500000034</v>
      </c>
      <c r="J49">
        <f t="shared" si="3"/>
        <v>-29.65929999999954</v>
      </c>
      <c r="K49">
        <f t="shared" si="4"/>
        <v>51.740261078927951</v>
      </c>
      <c r="L49" t="str">
        <f t="shared" si="5"/>
        <v>No</v>
      </c>
      <c r="M49" t="str">
        <f t="shared" si="6"/>
        <v>no</v>
      </c>
      <c r="N49" t="str">
        <f t="shared" si="7"/>
        <v>No</v>
      </c>
    </row>
    <row r="50" spans="1:14" x14ac:dyDescent="0.35">
      <c r="A50" t="s">
        <v>341</v>
      </c>
      <c r="B50" t="s">
        <v>302</v>
      </c>
      <c r="C50">
        <v>42.416699999999999</v>
      </c>
      <c r="D50">
        <v>-71.916700000000006</v>
      </c>
      <c r="E50" t="s">
        <v>363</v>
      </c>
      <c r="F50">
        <v>3597</v>
      </c>
      <c r="G50">
        <f t="shared" si="0"/>
        <v>9.8641666666665628E-2</v>
      </c>
      <c r="H50">
        <f t="shared" si="1"/>
        <v>-7.6206666666664091E-2</v>
      </c>
      <c r="I50">
        <f t="shared" si="2"/>
        <v>10.949224999999885</v>
      </c>
      <c r="J50">
        <f t="shared" si="3"/>
        <v>-6.2870499999997875</v>
      </c>
      <c r="K50">
        <f t="shared" si="4"/>
        <v>12.625867328746956</v>
      </c>
      <c r="L50" t="str">
        <f t="shared" si="5"/>
        <v>Yes</v>
      </c>
      <c r="M50" t="str">
        <f t="shared" si="6"/>
        <v>no</v>
      </c>
      <c r="N50" t="str">
        <f t="shared" si="7"/>
        <v>No</v>
      </c>
    </row>
    <row r="51" spans="1:14" hidden="1" x14ac:dyDescent="0.35">
      <c r="A51" t="s">
        <v>342</v>
      </c>
      <c r="B51" t="s">
        <v>302</v>
      </c>
      <c r="C51">
        <v>42.7</v>
      </c>
      <c r="D51">
        <v>-72.283299999999997</v>
      </c>
      <c r="E51" t="s">
        <v>363</v>
      </c>
      <c r="F51">
        <v>1291</v>
      </c>
      <c r="G51">
        <f t="shared" si="0"/>
        <v>0.38194166666666973</v>
      </c>
      <c r="H51">
        <f t="shared" si="1"/>
        <v>-0.44280666666665525</v>
      </c>
      <c r="I51">
        <f t="shared" si="2"/>
        <v>42.39552500000034</v>
      </c>
      <c r="J51">
        <f t="shared" si="3"/>
        <v>-36.531549999999058</v>
      </c>
      <c r="K51">
        <f t="shared" si="4"/>
        <v>55.963690777396778</v>
      </c>
      <c r="L51" t="str">
        <f t="shared" si="5"/>
        <v>No</v>
      </c>
      <c r="M51" t="str">
        <f t="shared" si="6"/>
        <v>no</v>
      </c>
      <c r="N51" t="str">
        <f t="shared" si="7"/>
        <v>No</v>
      </c>
    </row>
    <row r="52" spans="1:14" x14ac:dyDescent="0.35">
      <c r="A52" t="s">
        <v>343</v>
      </c>
      <c r="B52" t="s">
        <v>302</v>
      </c>
      <c r="C52">
        <v>42.366700000000002</v>
      </c>
      <c r="D52">
        <v>-71.866699999999994</v>
      </c>
      <c r="E52" t="s">
        <v>363</v>
      </c>
      <c r="F52">
        <v>9637</v>
      </c>
      <c r="G52">
        <f t="shared" si="0"/>
        <v>4.864166666666847E-2</v>
      </c>
      <c r="H52">
        <f t="shared" si="1"/>
        <v>-2.6206666666652723E-2</v>
      </c>
      <c r="I52">
        <f t="shared" si="2"/>
        <v>5.3992250000002002</v>
      </c>
      <c r="J52">
        <f t="shared" si="3"/>
        <v>-2.1620499999988496</v>
      </c>
      <c r="K52">
        <f t="shared" si="4"/>
        <v>5.8160201859280187</v>
      </c>
      <c r="L52" t="str">
        <f t="shared" si="5"/>
        <v>Yes</v>
      </c>
      <c r="M52" t="str">
        <f t="shared" si="6"/>
        <v>no</v>
      </c>
      <c r="N52" t="str">
        <f t="shared" si="7"/>
        <v>Yes</v>
      </c>
    </row>
    <row r="53" spans="1:14" hidden="1" x14ac:dyDescent="0.35">
      <c r="A53" t="s">
        <v>344</v>
      </c>
      <c r="B53" t="s">
        <v>302</v>
      </c>
      <c r="C53">
        <v>42.284199999999998</v>
      </c>
      <c r="D53">
        <v>-71.647099999999995</v>
      </c>
      <c r="E53" t="s">
        <v>363</v>
      </c>
      <c r="F53">
        <v>39620</v>
      </c>
      <c r="G53">
        <f t="shared" si="0"/>
        <v>-3.3858333333334656E-2</v>
      </c>
      <c r="H53">
        <f t="shared" si="1"/>
        <v>0.19339333333334707</v>
      </c>
      <c r="I53">
        <f t="shared" si="2"/>
        <v>-3.7582750000001468</v>
      </c>
      <c r="J53">
        <f t="shared" si="3"/>
        <v>15.954950000001134</v>
      </c>
      <c r="K53">
        <f t="shared" si="4"/>
        <v>16.391615554244868</v>
      </c>
      <c r="L53" t="str">
        <f t="shared" si="5"/>
        <v>No</v>
      </c>
      <c r="M53" t="str">
        <f t="shared" si="6"/>
        <v>no</v>
      </c>
      <c r="N53" t="str">
        <f t="shared" si="7"/>
        <v>No</v>
      </c>
    </row>
    <row r="54" spans="1:14" hidden="1" x14ac:dyDescent="0.35">
      <c r="A54" t="s">
        <v>345</v>
      </c>
      <c r="B54" t="s">
        <v>302</v>
      </c>
      <c r="C54">
        <v>42.3</v>
      </c>
      <c r="D54">
        <v>-71.533299999999997</v>
      </c>
      <c r="E54" t="s">
        <v>363</v>
      </c>
      <c r="F54">
        <v>10569</v>
      </c>
      <c r="G54">
        <f t="shared" si="0"/>
        <v>-1.8058333333335952E-2</v>
      </c>
      <c r="H54">
        <f t="shared" si="1"/>
        <v>0.30719333333334475</v>
      </c>
      <c r="I54">
        <f t="shared" si="2"/>
        <v>-2.0044750000002907</v>
      </c>
      <c r="J54">
        <f t="shared" si="3"/>
        <v>25.343450000000942</v>
      </c>
      <c r="K54">
        <f t="shared" si="4"/>
        <v>25.422595814121223</v>
      </c>
      <c r="L54" t="str">
        <f t="shared" si="5"/>
        <v>No</v>
      </c>
      <c r="M54" t="str">
        <f t="shared" si="6"/>
        <v>no</v>
      </c>
      <c r="N54" t="str">
        <f t="shared" si="7"/>
        <v>No</v>
      </c>
    </row>
    <row r="55" spans="1:14" hidden="1" x14ac:dyDescent="0.35">
      <c r="A55" t="s">
        <v>346</v>
      </c>
      <c r="B55" t="s">
        <v>302</v>
      </c>
      <c r="C55">
        <v>42.083300000000001</v>
      </c>
      <c r="D55">
        <v>-71.9833</v>
      </c>
      <c r="E55" t="s">
        <v>363</v>
      </c>
      <c r="F55">
        <v>18106</v>
      </c>
      <c r="G55">
        <f t="shared" si="0"/>
        <v>-0.23475833333333185</v>
      </c>
      <c r="H55">
        <f t="shared" si="1"/>
        <v>-0.14280666666665809</v>
      </c>
      <c r="I55">
        <f t="shared" si="2"/>
        <v>-26.058174999999835</v>
      </c>
      <c r="J55">
        <f t="shared" si="3"/>
        <v>-11.781549999999292</v>
      </c>
      <c r="K55">
        <f t="shared" si="4"/>
        <v>28.597786710392462</v>
      </c>
      <c r="L55" t="str">
        <f t="shared" si="5"/>
        <v>No</v>
      </c>
      <c r="M55" t="str">
        <f t="shared" si="6"/>
        <v>no</v>
      </c>
      <c r="N55" t="str">
        <f t="shared" si="7"/>
        <v>No</v>
      </c>
    </row>
    <row r="56" spans="1:14" hidden="1" x14ac:dyDescent="0.35">
      <c r="A56" t="s">
        <v>347</v>
      </c>
      <c r="B56" t="s">
        <v>302</v>
      </c>
      <c r="C56">
        <v>42.166699999999999</v>
      </c>
      <c r="D56">
        <v>-71.95</v>
      </c>
      <c r="E56" t="s">
        <v>363</v>
      </c>
      <c r="F56">
        <v>12090</v>
      </c>
      <c r="G56">
        <f t="shared" si="0"/>
        <v>-0.15135833333333437</v>
      </c>
      <c r="H56">
        <f t="shared" si="1"/>
        <v>-0.10950666666666109</v>
      </c>
      <c r="I56">
        <f t="shared" si="2"/>
        <v>-16.800775000000115</v>
      </c>
      <c r="J56">
        <f t="shared" si="3"/>
        <v>-9.0342999999995399</v>
      </c>
      <c r="K56">
        <f t="shared" si="4"/>
        <v>19.075759934813096</v>
      </c>
      <c r="L56" t="str">
        <f t="shared" si="5"/>
        <v>No</v>
      </c>
      <c r="M56" t="str">
        <f t="shared" si="6"/>
        <v>no</v>
      </c>
      <c r="N56" t="str">
        <f t="shared" si="7"/>
        <v>No</v>
      </c>
    </row>
    <row r="57" spans="1:14" x14ac:dyDescent="0.35">
      <c r="A57" t="s">
        <v>348</v>
      </c>
      <c r="B57" t="s">
        <v>302</v>
      </c>
      <c r="C57">
        <v>42.416699999999999</v>
      </c>
      <c r="D57">
        <v>-71.783299999999997</v>
      </c>
      <c r="E57" t="s">
        <v>363</v>
      </c>
      <c r="F57">
        <v>8310</v>
      </c>
      <c r="G57">
        <f t="shared" si="0"/>
        <v>9.8641666666665628E-2</v>
      </c>
      <c r="H57">
        <f t="shared" si="1"/>
        <v>5.7193333333344754E-2</v>
      </c>
      <c r="I57">
        <f t="shared" si="2"/>
        <v>10.949224999999885</v>
      </c>
      <c r="J57">
        <f t="shared" si="3"/>
        <v>4.7184500000009422</v>
      </c>
      <c r="K57">
        <f t="shared" si="4"/>
        <v>11.922638068109396</v>
      </c>
      <c r="L57" t="str">
        <f t="shared" si="5"/>
        <v>Yes</v>
      </c>
      <c r="M57" t="str">
        <f t="shared" si="6"/>
        <v>no</v>
      </c>
      <c r="N57" t="str">
        <f t="shared" si="7"/>
        <v>No</v>
      </c>
    </row>
    <row r="58" spans="1:14" hidden="1" x14ac:dyDescent="0.35">
      <c r="A58" t="s">
        <v>349</v>
      </c>
      <c r="B58" t="s">
        <v>302</v>
      </c>
      <c r="C58">
        <v>42.116700000000002</v>
      </c>
      <c r="D58">
        <v>-72.066699999999997</v>
      </c>
      <c r="E58" t="s">
        <v>363</v>
      </c>
      <c r="F58">
        <v>10097</v>
      </c>
      <c r="G58">
        <f t="shared" si="0"/>
        <v>-0.20135833333333153</v>
      </c>
      <c r="H58">
        <f t="shared" si="1"/>
        <v>-0.22620666666665556</v>
      </c>
      <c r="I58">
        <f t="shared" si="2"/>
        <v>-22.3507749999998</v>
      </c>
      <c r="J58">
        <f t="shared" si="3"/>
        <v>-18.662049999999084</v>
      </c>
      <c r="K58">
        <f t="shared" si="4"/>
        <v>29.11750767670684</v>
      </c>
      <c r="L58" t="str">
        <f t="shared" si="5"/>
        <v>No</v>
      </c>
      <c r="M58" t="str">
        <f t="shared" si="6"/>
        <v>no</v>
      </c>
      <c r="N58" t="str">
        <f t="shared" si="7"/>
        <v>No</v>
      </c>
    </row>
    <row r="59" spans="1:14" hidden="1" x14ac:dyDescent="0.35">
      <c r="A59" t="s">
        <v>350</v>
      </c>
      <c r="B59" t="s">
        <v>302</v>
      </c>
      <c r="C59">
        <v>42.15</v>
      </c>
      <c r="D59">
        <v>-71.833299999999994</v>
      </c>
      <c r="E59" t="s">
        <v>363</v>
      </c>
      <c r="F59">
        <v>9599</v>
      </c>
      <c r="G59">
        <f t="shared" si="0"/>
        <v>-0.16805833333333453</v>
      </c>
      <c r="H59">
        <f t="shared" si="1"/>
        <v>7.1933333333475957E-3</v>
      </c>
      <c r="I59">
        <f t="shared" si="2"/>
        <v>-18.654475000000133</v>
      </c>
      <c r="J59">
        <f t="shared" si="3"/>
        <v>0.59345000000117665</v>
      </c>
      <c r="K59">
        <f t="shared" si="4"/>
        <v>18.663912248725651</v>
      </c>
      <c r="L59" t="str">
        <f t="shared" si="5"/>
        <v>No</v>
      </c>
      <c r="M59" t="str">
        <f t="shared" si="6"/>
        <v>no</v>
      </c>
      <c r="N59" t="str">
        <f t="shared" si="7"/>
        <v>No</v>
      </c>
    </row>
    <row r="60" spans="1:14" hidden="1" x14ac:dyDescent="0.35">
      <c r="A60" t="s">
        <v>351</v>
      </c>
      <c r="B60" t="s">
        <v>302</v>
      </c>
      <c r="C60">
        <v>42.633299999999998</v>
      </c>
      <c r="D60">
        <v>-72.066699999999997</v>
      </c>
      <c r="E60" t="s">
        <v>363</v>
      </c>
      <c r="F60">
        <v>8387</v>
      </c>
      <c r="G60">
        <f t="shared" si="0"/>
        <v>0.31524166666666531</v>
      </c>
      <c r="H60">
        <f t="shared" si="1"/>
        <v>-0.22620666666665556</v>
      </c>
      <c r="I60">
        <f t="shared" si="2"/>
        <v>34.991824999999849</v>
      </c>
      <c r="J60">
        <f t="shared" si="3"/>
        <v>-18.662049999999084</v>
      </c>
      <c r="K60">
        <f t="shared" si="4"/>
        <v>39.657280882999032</v>
      </c>
      <c r="L60" t="str">
        <f t="shared" si="5"/>
        <v>No</v>
      </c>
      <c r="M60" t="str">
        <f t="shared" si="6"/>
        <v>no</v>
      </c>
      <c r="N60" t="str">
        <f t="shared" si="7"/>
        <v>No</v>
      </c>
    </row>
    <row r="61" spans="1:14" hidden="1" x14ac:dyDescent="0.35">
      <c r="A61" t="s">
        <v>352</v>
      </c>
      <c r="B61" t="s">
        <v>302</v>
      </c>
      <c r="C61">
        <v>42.133299999999998</v>
      </c>
      <c r="D61">
        <v>-71.633300000000006</v>
      </c>
      <c r="E61" t="s">
        <v>363</v>
      </c>
      <c r="F61">
        <v>8475</v>
      </c>
      <c r="G61">
        <f t="shared" si="0"/>
        <v>-0.18475833333333469</v>
      </c>
      <c r="H61">
        <f t="shared" si="1"/>
        <v>0.20719333333333623</v>
      </c>
      <c r="I61">
        <f t="shared" si="2"/>
        <v>-20.508175000000151</v>
      </c>
      <c r="J61">
        <f t="shared" si="3"/>
        <v>17.093450000000239</v>
      </c>
      <c r="K61">
        <f t="shared" si="4"/>
        <v>26.697776587819806</v>
      </c>
      <c r="L61" t="str">
        <f t="shared" si="5"/>
        <v>No</v>
      </c>
      <c r="M61" t="str">
        <f t="shared" si="6"/>
        <v>no</v>
      </c>
      <c r="N61" t="str">
        <f t="shared" si="7"/>
        <v>No</v>
      </c>
    </row>
    <row r="62" spans="1:14" hidden="1" x14ac:dyDescent="0.35">
      <c r="A62" t="s">
        <v>353</v>
      </c>
      <c r="B62" t="s">
        <v>302</v>
      </c>
      <c r="C62">
        <v>42.066699999999997</v>
      </c>
      <c r="D62">
        <v>-71.633300000000006</v>
      </c>
      <c r="E62" t="s">
        <v>363</v>
      </c>
      <c r="F62">
        <v>14703</v>
      </c>
      <c r="G62">
        <f t="shared" si="0"/>
        <v>-0.25135833333333579</v>
      </c>
      <c r="H62">
        <f t="shared" si="1"/>
        <v>0.20719333333333623</v>
      </c>
      <c r="I62">
        <f t="shared" si="2"/>
        <v>-27.900775000000273</v>
      </c>
      <c r="J62">
        <f t="shared" si="3"/>
        <v>17.093450000000239</v>
      </c>
      <c r="K62">
        <f t="shared" si="4"/>
        <v>32.720624665540058</v>
      </c>
      <c r="L62" t="str">
        <f t="shared" si="5"/>
        <v>No</v>
      </c>
      <c r="M62" t="str">
        <f t="shared" si="6"/>
        <v>no</v>
      </c>
      <c r="N62" t="str">
        <f t="shared" si="7"/>
        <v>No</v>
      </c>
    </row>
    <row r="63" spans="1:14" hidden="1" x14ac:dyDescent="0.35">
      <c r="A63" t="s">
        <v>354</v>
      </c>
      <c r="B63" t="s">
        <v>302</v>
      </c>
      <c r="C63">
        <v>42.25</v>
      </c>
      <c r="D63">
        <v>-72.166700000000006</v>
      </c>
      <c r="E63" t="s">
        <v>363</v>
      </c>
      <c r="F63">
        <v>5086</v>
      </c>
      <c r="G63">
        <f t="shared" si="0"/>
        <v>-6.805833333333311E-2</v>
      </c>
      <c r="H63">
        <f t="shared" si="1"/>
        <v>-0.32620666666666409</v>
      </c>
      <c r="I63">
        <f t="shared" si="2"/>
        <v>-7.5544749999999752</v>
      </c>
      <c r="J63">
        <f t="shared" si="3"/>
        <v>-26.912049999999788</v>
      </c>
      <c r="K63">
        <f t="shared" si="4"/>
        <v>27.952254430154884</v>
      </c>
      <c r="L63" t="str">
        <f t="shared" si="5"/>
        <v>No</v>
      </c>
      <c r="M63" t="str">
        <f t="shared" si="6"/>
        <v>no</v>
      </c>
      <c r="N63" t="str">
        <f t="shared" si="7"/>
        <v>No</v>
      </c>
    </row>
    <row r="64" spans="1:14" hidden="1" x14ac:dyDescent="0.35">
      <c r="A64" t="s">
        <v>355</v>
      </c>
      <c r="B64" t="s">
        <v>302</v>
      </c>
      <c r="C64">
        <v>42.066699999999997</v>
      </c>
      <c r="D64">
        <v>-71.816699999999997</v>
      </c>
      <c r="E64" t="s">
        <v>363</v>
      </c>
      <c r="F64">
        <v>17817</v>
      </c>
      <c r="G64">
        <f t="shared" si="0"/>
        <v>-0.25135833333333579</v>
      </c>
      <c r="H64">
        <f t="shared" si="1"/>
        <v>2.3793333333344435E-2</v>
      </c>
      <c r="I64">
        <f t="shared" si="2"/>
        <v>-27.900775000000273</v>
      </c>
      <c r="J64">
        <f t="shared" si="3"/>
        <v>1.9629500000009159</v>
      </c>
      <c r="K64">
        <f t="shared" si="4"/>
        <v>27.969741119701908</v>
      </c>
      <c r="L64" t="str">
        <f t="shared" si="5"/>
        <v>No</v>
      </c>
      <c r="M64" t="str">
        <f t="shared" si="6"/>
        <v>no</v>
      </c>
      <c r="N64" t="str">
        <f t="shared" si="7"/>
        <v>No</v>
      </c>
    </row>
    <row r="65" spans="1:14" x14ac:dyDescent="0.35">
      <c r="A65" t="s">
        <v>356</v>
      </c>
      <c r="B65" t="s">
        <v>302</v>
      </c>
      <c r="C65">
        <v>42.383299999999998</v>
      </c>
      <c r="D65">
        <v>-71.783299999999997</v>
      </c>
      <c r="E65" t="s">
        <v>363</v>
      </c>
      <c r="F65">
        <v>7938</v>
      </c>
      <c r="G65">
        <f t="shared" si="0"/>
        <v>6.524166666666531E-2</v>
      </c>
      <c r="H65">
        <f t="shared" si="1"/>
        <v>5.7193333333344754E-2</v>
      </c>
      <c r="I65">
        <f t="shared" si="2"/>
        <v>7.2418249999998494</v>
      </c>
      <c r="J65">
        <f t="shared" si="3"/>
        <v>4.7184500000009422</v>
      </c>
      <c r="K65">
        <f t="shared" si="4"/>
        <v>8.6433673839037812</v>
      </c>
      <c r="L65" t="str">
        <f t="shared" si="5"/>
        <v>Yes</v>
      </c>
      <c r="M65" t="str">
        <f t="shared" si="6"/>
        <v>no</v>
      </c>
      <c r="N65" t="str">
        <f t="shared" si="7"/>
        <v>Yes</v>
      </c>
    </row>
    <row r="66" spans="1:14" hidden="1" x14ac:dyDescent="0.35">
      <c r="A66" t="s">
        <v>357</v>
      </c>
      <c r="B66" t="s">
        <v>302</v>
      </c>
      <c r="C66">
        <v>42.2</v>
      </c>
      <c r="D66">
        <v>-72.033299999999997</v>
      </c>
      <c r="E66" t="s">
        <v>363</v>
      </c>
      <c r="F66">
        <v>3917</v>
      </c>
      <c r="G66">
        <f t="shared" si="0"/>
        <v>-0.11805833333333027</v>
      </c>
      <c r="H66">
        <f t="shared" si="1"/>
        <v>-0.19280666666665525</v>
      </c>
      <c r="I66">
        <f t="shared" si="2"/>
        <v>-13.10447499999966</v>
      </c>
      <c r="J66">
        <f t="shared" si="3"/>
        <v>-15.906549999999058</v>
      </c>
      <c r="K66">
        <f t="shared" si="4"/>
        <v>20.609357047906325</v>
      </c>
      <c r="L66" t="str">
        <f t="shared" si="5"/>
        <v>No</v>
      </c>
      <c r="M66" t="str">
        <f t="shared" si="6"/>
        <v>no</v>
      </c>
      <c r="N66" t="str">
        <f t="shared" si="7"/>
        <v>No</v>
      </c>
    </row>
    <row r="67" spans="1:14" hidden="1" x14ac:dyDescent="0.35">
      <c r="A67" t="s">
        <v>358</v>
      </c>
      <c r="B67" t="s">
        <v>302</v>
      </c>
      <c r="C67">
        <v>42.284199999999998</v>
      </c>
      <c r="D67">
        <v>-71.647099999999995</v>
      </c>
      <c r="E67" t="s">
        <v>363</v>
      </c>
      <c r="F67">
        <v>22643</v>
      </c>
      <c r="G67">
        <f t="shared" si="0"/>
        <v>-3.3858333333334656E-2</v>
      </c>
      <c r="H67">
        <f t="shared" si="1"/>
        <v>0.19339333333334707</v>
      </c>
      <c r="I67">
        <f t="shared" si="2"/>
        <v>-3.7582750000001468</v>
      </c>
      <c r="J67">
        <f t="shared" si="3"/>
        <v>15.954950000001134</v>
      </c>
      <c r="K67">
        <f t="shared" si="4"/>
        <v>16.391615554244868</v>
      </c>
      <c r="L67" t="str">
        <f t="shared" si="5"/>
        <v>No</v>
      </c>
      <c r="M67" t="str">
        <f t="shared" si="6"/>
        <v>no</v>
      </c>
      <c r="N67" t="str">
        <f t="shared" si="7"/>
        <v>No</v>
      </c>
    </row>
    <row r="68" spans="1:14" hidden="1" x14ac:dyDescent="0.35">
      <c r="A68" t="s">
        <v>359</v>
      </c>
      <c r="B68" t="s">
        <v>302</v>
      </c>
      <c r="C68">
        <v>42.5167</v>
      </c>
      <c r="D68">
        <v>-71.650000000000006</v>
      </c>
      <c r="E68" t="s">
        <v>363</v>
      </c>
      <c r="F68">
        <v>8509</v>
      </c>
      <c r="G68">
        <f t="shared" si="0"/>
        <v>0.19864166666666705</v>
      </c>
      <c r="H68">
        <f t="shared" si="1"/>
        <v>0.19049333333333607</v>
      </c>
      <c r="I68">
        <f t="shared" si="2"/>
        <v>22.049225000000042</v>
      </c>
      <c r="J68">
        <f t="shared" si="3"/>
        <v>15.715700000000226</v>
      </c>
      <c r="K68">
        <f t="shared" si="4"/>
        <v>27.076771402636503</v>
      </c>
      <c r="L68" t="str">
        <f t="shared" si="5"/>
        <v>No</v>
      </c>
      <c r="M68" t="str">
        <f t="shared" si="6"/>
        <v>no</v>
      </c>
      <c r="N68" t="str">
        <f t="shared" si="7"/>
        <v>No</v>
      </c>
    </row>
    <row r="69" spans="1:14" hidden="1" x14ac:dyDescent="0.35">
      <c r="A69" t="s">
        <v>360</v>
      </c>
      <c r="B69" t="s">
        <v>302</v>
      </c>
      <c r="C69">
        <v>42.683300000000003</v>
      </c>
      <c r="D69">
        <v>-72.066699999999997</v>
      </c>
      <c r="E69" t="s">
        <v>363</v>
      </c>
      <c r="F69">
        <v>10587</v>
      </c>
      <c r="G69">
        <f t="shared" si="0"/>
        <v>0.36524166666666957</v>
      </c>
      <c r="H69">
        <f t="shared" si="1"/>
        <v>-0.22620666666665556</v>
      </c>
      <c r="I69">
        <f t="shared" si="2"/>
        <v>40.541825000000323</v>
      </c>
      <c r="J69">
        <f t="shared" si="3"/>
        <v>-18.662049999999084</v>
      </c>
      <c r="K69">
        <f t="shared" si="4"/>
        <v>44.630837820201371</v>
      </c>
      <c r="L69" t="str">
        <f t="shared" si="5"/>
        <v>No</v>
      </c>
      <c r="M69" t="str">
        <f t="shared" si="6"/>
        <v>no</v>
      </c>
      <c r="N69" t="str">
        <f t="shared" si="7"/>
        <v>No</v>
      </c>
    </row>
    <row r="70" spans="1:14" x14ac:dyDescent="0.35">
      <c r="A70" t="s">
        <v>302</v>
      </c>
      <c r="B70" t="s">
        <v>302</v>
      </c>
      <c r="C70">
        <v>42.2652</v>
      </c>
      <c r="D70">
        <v>-71.8018</v>
      </c>
      <c r="E70" t="s">
        <v>363</v>
      </c>
      <c r="F70">
        <v>211286</v>
      </c>
      <c r="G70">
        <f t="shared" si="0"/>
        <v>-5.2858333333333007E-2</v>
      </c>
      <c r="H70">
        <f t="shared" si="1"/>
        <v>3.8693333333341684E-2</v>
      </c>
      <c r="I70">
        <f t="shared" si="2"/>
        <v>-5.8672749999999638</v>
      </c>
      <c r="J70">
        <f t="shared" si="3"/>
        <v>3.1922000000006889</v>
      </c>
      <c r="K70">
        <f t="shared" si="4"/>
        <v>6.6794503340940388</v>
      </c>
      <c r="L70" t="str">
        <f t="shared" si="5"/>
        <v>Yes</v>
      </c>
      <c r="M70" t="str">
        <f t="shared" si="6"/>
        <v>no</v>
      </c>
      <c r="N70" t="str">
        <f t="shared" si="7"/>
        <v>Yes</v>
      </c>
    </row>
    <row r="72" spans="1:14" x14ac:dyDescent="0.35">
      <c r="B72" s="9" t="s">
        <v>425</v>
      </c>
      <c r="C72" s="9"/>
      <c r="D72" s="9"/>
      <c r="E72" s="9"/>
      <c r="F72" s="9"/>
      <c r="G72" s="9"/>
      <c r="H72">
        <f>SUMIFS(F11:F70,L11:L70,"Yes")</f>
        <v>357118</v>
      </c>
    </row>
    <row r="74" spans="1:14" x14ac:dyDescent="0.35">
      <c r="H74">
        <f>SUMIFS(F13:F72,M13:M72,"Yes")</f>
        <v>25369</v>
      </c>
    </row>
    <row r="76" spans="1:14" x14ac:dyDescent="0.35">
      <c r="H76">
        <f>SUMIFS(F15:F74,N15:N74,"Yes")</f>
        <v>265454</v>
      </c>
    </row>
  </sheetData>
  <autoFilter ref="A10:N70" xr:uid="{9EF0E049-BE50-4147-A341-4CA35ED6CA97}">
    <filterColumn colId="11">
      <filters>
        <filter val="Yes"/>
      </filters>
    </filterColumn>
  </autoFilter>
  <mergeCells count="1">
    <mergeCell ref="B72:G7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3a7c61-b1a4-430f-a3a4-c26e22b1db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B1B95DA5BC9E40846CB44DB73BC4F8" ma:contentTypeVersion="11" ma:contentTypeDescription="Create a new document." ma:contentTypeScope="" ma:versionID="69a7063741f63d0354681c075f25431e">
  <xsd:schema xmlns:xsd="http://www.w3.org/2001/XMLSchema" xmlns:xs="http://www.w3.org/2001/XMLSchema" xmlns:p="http://schemas.microsoft.com/office/2006/metadata/properties" xmlns:ns3="973a7c61-b1a4-430f-a3a4-c26e22b1dbdc" targetNamespace="http://schemas.microsoft.com/office/2006/metadata/properties" ma:root="true" ma:fieldsID="4038eb2c9fe4c2439448935c0887b12b" ns3:_="">
    <xsd:import namespace="973a7c61-b1a4-430f-a3a4-c26e22b1dbd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a7c61-b1a4-430f-a3a4-c26e22b1dbd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6FF0C4-7403-47EE-8EC1-7BB699C5BE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2A2550-98C4-4EFC-BD4E-EEFBFC0DD26B}">
  <ds:schemaRefs>
    <ds:schemaRef ds:uri="973a7c61-b1a4-430f-a3a4-c26e22b1dbdc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B43424-3504-4DDB-86A0-459AB9B12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a7c61-b1a4-430f-a3a4-c26e22b1db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MA_Cities</vt:lpstr>
      <vt:lpstr>MA_Counties</vt:lpstr>
      <vt:lpstr>HUB LOCATION ANALYSIS USING COG</vt:lpstr>
      <vt:lpstr>Eastern Region Coverage Area</vt:lpstr>
      <vt:lpstr>Western Region_Coverage Area</vt:lpstr>
      <vt:lpstr>Central Region_Coverage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Agarwal</dc:creator>
  <cp:lastModifiedBy>Abhijith Varma</cp:lastModifiedBy>
  <dcterms:created xsi:type="dcterms:W3CDTF">2025-12-01T19:14:31Z</dcterms:created>
  <dcterms:modified xsi:type="dcterms:W3CDTF">2025-12-07T01:16:16Z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0x010100CDB1B95DA5BC9E40846CB44DB73BC4F8</vt:lpwstr>
  </property>
</Properties>
</file>