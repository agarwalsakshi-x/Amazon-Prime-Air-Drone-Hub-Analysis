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ij\Downloads\"/>
    </mc:Choice>
  </mc:AlternateContent>
  <xr:revisionPtr revIDLastSave="0" documentId="13_ncr:1_{78C2A63F-36DD-4C3D-912D-DDC358CD0FF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unties" sheetId="2" r:id="rId1"/>
    <sheet name="Huff_Model" sheetId="4" r:id="rId2"/>
    <sheet name="Hubs" sheetId="3" r:id="rId3"/>
    <sheet name="Summary" sheetId="5" r:id="rId4"/>
  </sheets>
  <definedNames>
    <definedName name="_xlnm._FilterDatabase" localSheetId="1" hidden="1">Huff_Model!$A$3:$O$45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B6" i="5" l="1"/>
  <c r="B5" i="5"/>
  <c r="B4" i="5"/>
  <c r="J45" i="4"/>
  <c r="I45" i="4"/>
  <c r="H45" i="4"/>
  <c r="G45" i="4"/>
  <c r="K45" i="4" s="1"/>
  <c r="F45" i="4"/>
  <c r="D45" i="4"/>
  <c r="C45" i="4"/>
  <c r="B45" i="4"/>
  <c r="J44" i="4"/>
  <c r="I44" i="4"/>
  <c r="H44" i="4"/>
  <c r="G44" i="4"/>
  <c r="K44" i="4" s="1"/>
  <c r="F44" i="4"/>
  <c r="D44" i="4"/>
  <c r="C44" i="4"/>
  <c r="B44" i="4"/>
  <c r="J43" i="4"/>
  <c r="I43" i="4"/>
  <c r="H43" i="4"/>
  <c r="G43" i="4"/>
  <c r="K43" i="4" s="1"/>
  <c r="F43" i="4"/>
  <c r="D43" i="4"/>
  <c r="C43" i="4"/>
  <c r="B43" i="4"/>
  <c r="J42" i="4"/>
  <c r="I42" i="4"/>
  <c r="H42" i="4"/>
  <c r="G42" i="4"/>
  <c r="K42" i="4" s="1"/>
  <c r="F42" i="4"/>
  <c r="D42" i="4"/>
  <c r="C42" i="4"/>
  <c r="B42" i="4"/>
  <c r="J41" i="4"/>
  <c r="I41" i="4"/>
  <c r="H41" i="4"/>
  <c r="G41" i="4"/>
  <c r="K41" i="4" s="1"/>
  <c r="F41" i="4"/>
  <c r="D41" i="4"/>
  <c r="C41" i="4"/>
  <c r="B41" i="4"/>
  <c r="J40" i="4"/>
  <c r="I40" i="4"/>
  <c r="H40" i="4"/>
  <c r="G40" i="4"/>
  <c r="K40" i="4" s="1"/>
  <c r="F40" i="4"/>
  <c r="D40" i="4"/>
  <c r="C40" i="4"/>
  <c r="B40" i="4"/>
  <c r="J39" i="4"/>
  <c r="I39" i="4"/>
  <c r="H39" i="4"/>
  <c r="G39" i="4"/>
  <c r="K39" i="4" s="1"/>
  <c r="F39" i="4"/>
  <c r="D39" i="4"/>
  <c r="C39" i="4"/>
  <c r="B39" i="4"/>
  <c r="J38" i="4"/>
  <c r="I38" i="4"/>
  <c r="H38" i="4"/>
  <c r="G38" i="4"/>
  <c r="K38" i="4" s="1"/>
  <c r="F38" i="4"/>
  <c r="D38" i="4"/>
  <c r="C38" i="4"/>
  <c r="B38" i="4"/>
  <c r="J37" i="4"/>
  <c r="I37" i="4"/>
  <c r="H37" i="4"/>
  <c r="G37" i="4"/>
  <c r="K37" i="4" s="1"/>
  <c r="F37" i="4"/>
  <c r="D37" i="4"/>
  <c r="C37" i="4"/>
  <c r="L37" i="4" s="1"/>
  <c r="B37" i="4"/>
  <c r="J36" i="4"/>
  <c r="I36" i="4"/>
  <c r="H36" i="4"/>
  <c r="G36" i="4"/>
  <c r="K36" i="4" s="1"/>
  <c r="F36" i="4"/>
  <c r="D36" i="4"/>
  <c r="C36" i="4"/>
  <c r="B36" i="4"/>
  <c r="J35" i="4"/>
  <c r="I35" i="4"/>
  <c r="H35" i="4"/>
  <c r="G35" i="4"/>
  <c r="K35" i="4" s="1"/>
  <c r="F35" i="4"/>
  <c r="D35" i="4"/>
  <c r="C35" i="4"/>
  <c r="B35" i="4"/>
  <c r="J34" i="4"/>
  <c r="I34" i="4"/>
  <c r="H34" i="4"/>
  <c r="G34" i="4"/>
  <c r="K34" i="4" s="1"/>
  <c r="F34" i="4"/>
  <c r="D34" i="4"/>
  <c r="C34" i="4"/>
  <c r="B34" i="4"/>
  <c r="J33" i="4"/>
  <c r="I33" i="4"/>
  <c r="H33" i="4"/>
  <c r="G33" i="4"/>
  <c r="K33" i="4" s="1"/>
  <c r="F33" i="4"/>
  <c r="D33" i="4"/>
  <c r="C33" i="4"/>
  <c r="B33" i="4"/>
  <c r="J32" i="4"/>
  <c r="I32" i="4"/>
  <c r="H32" i="4"/>
  <c r="G32" i="4"/>
  <c r="K32" i="4" s="1"/>
  <c r="F32" i="4"/>
  <c r="D32" i="4"/>
  <c r="C32" i="4"/>
  <c r="L32" i="4" s="1"/>
  <c r="B32" i="4"/>
  <c r="J31" i="4"/>
  <c r="I31" i="4"/>
  <c r="H31" i="4"/>
  <c r="G31" i="4"/>
  <c r="K31" i="4" s="1"/>
  <c r="F31" i="4"/>
  <c r="D31" i="4"/>
  <c r="C31" i="4"/>
  <c r="B31" i="4"/>
  <c r="J30" i="4"/>
  <c r="I30" i="4"/>
  <c r="H30" i="4"/>
  <c r="G30" i="4"/>
  <c r="K30" i="4" s="1"/>
  <c r="F30" i="4"/>
  <c r="D30" i="4"/>
  <c r="C30" i="4"/>
  <c r="B30" i="4"/>
  <c r="J29" i="4"/>
  <c r="I29" i="4"/>
  <c r="H29" i="4"/>
  <c r="G29" i="4"/>
  <c r="K29" i="4" s="1"/>
  <c r="F29" i="4"/>
  <c r="D29" i="4"/>
  <c r="C29" i="4"/>
  <c r="L29" i="4" s="1"/>
  <c r="B29" i="4"/>
  <c r="J28" i="4"/>
  <c r="I28" i="4"/>
  <c r="H28" i="4"/>
  <c r="G28" i="4"/>
  <c r="K28" i="4" s="1"/>
  <c r="F28" i="4"/>
  <c r="D28" i="4"/>
  <c r="C28" i="4"/>
  <c r="B28" i="4"/>
  <c r="J27" i="4"/>
  <c r="I27" i="4"/>
  <c r="H27" i="4"/>
  <c r="G27" i="4"/>
  <c r="K27" i="4" s="1"/>
  <c r="F27" i="4"/>
  <c r="D27" i="4"/>
  <c r="C27" i="4"/>
  <c r="B27" i="4"/>
  <c r="J26" i="4"/>
  <c r="I26" i="4"/>
  <c r="H26" i="4"/>
  <c r="G26" i="4"/>
  <c r="K26" i="4" s="1"/>
  <c r="F26" i="4"/>
  <c r="D26" i="4"/>
  <c r="C26" i="4"/>
  <c r="B26" i="4"/>
  <c r="J25" i="4"/>
  <c r="I25" i="4"/>
  <c r="H25" i="4"/>
  <c r="G25" i="4"/>
  <c r="K25" i="4" s="1"/>
  <c r="F25" i="4"/>
  <c r="D25" i="4"/>
  <c r="C25" i="4"/>
  <c r="B25" i="4"/>
  <c r="J24" i="4"/>
  <c r="I24" i="4"/>
  <c r="H24" i="4"/>
  <c r="G24" i="4"/>
  <c r="K24" i="4" s="1"/>
  <c r="F24" i="4"/>
  <c r="D24" i="4"/>
  <c r="C24" i="4"/>
  <c r="B24" i="4"/>
  <c r="J23" i="4"/>
  <c r="I23" i="4"/>
  <c r="H23" i="4"/>
  <c r="G23" i="4"/>
  <c r="K23" i="4" s="1"/>
  <c r="F23" i="4"/>
  <c r="D23" i="4"/>
  <c r="C23" i="4"/>
  <c r="B23" i="4"/>
  <c r="J22" i="4"/>
  <c r="I22" i="4"/>
  <c r="H22" i="4"/>
  <c r="G22" i="4"/>
  <c r="K22" i="4" s="1"/>
  <c r="F22" i="4"/>
  <c r="D22" i="4"/>
  <c r="C22" i="4"/>
  <c r="B22" i="4"/>
  <c r="J21" i="4"/>
  <c r="I21" i="4"/>
  <c r="H21" i="4"/>
  <c r="G21" i="4"/>
  <c r="K21" i="4" s="1"/>
  <c r="F21" i="4"/>
  <c r="D21" i="4"/>
  <c r="L21" i="4" s="1"/>
  <c r="C21" i="4"/>
  <c r="B21" i="4"/>
  <c r="J20" i="4"/>
  <c r="I20" i="4"/>
  <c r="H20" i="4"/>
  <c r="G20" i="4"/>
  <c r="K20" i="4" s="1"/>
  <c r="F20" i="4"/>
  <c r="D20" i="4"/>
  <c r="C20" i="4"/>
  <c r="B20" i="4"/>
  <c r="J19" i="4"/>
  <c r="I19" i="4"/>
  <c r="H19" i="4"/>
  <c r="G19" i="4"/>
  <c r="K19" i="4" s="1"/>
  <c r="F19" i="4"/>
  <c r="D19" i="4"/>
  <c r="C19" i="4"/>
  <c r="B19" i="4"/>
  <c r="J18" i="4"/>
  <c r="I18" i="4"/>
  <c r="H18" i="4"/>
  <c r="G18" i="4"/>
  <c r="K18" i="4" s="1"/>
  <c r="F18" i="4"/>
  <c r="D18" i="4"/>
  <c r="C18" i="4"/>
  <c r="B18" i="4"/>
  <c r="J17" i="4"/>
  <c r="I17" i="4"/>
  <c r="H17" i="4"/>
  <c r="G17" i="4"/>
  <c r="K17" i="4" s="1"/>
  <c r="F17" i="4"/>
  <c r="D17" i="4"/>
  <c r="C17" i="4"/>
  <c r="B17" i="4"/>
  <c r="J16" i="4"/>
  <c r="I16" i="4"/>
  <c r="H16" i="4"/>
  <c r="G16" i="4"/>
  <c r="K16" i="4" s="1"/>
  <c r="F16" i="4"/>
  <c r="D16" i="4"/>
  <c r="C16" i="4"/>
  <c r="L16" i="4" s="1"/>
  <c r="B16" i="4"/>
  <c r="J15" i="4"/>
  <c r="I15" i="4"/>
  <c r="H15" i="4"/>
  <c r="G15" i="4"/>
  <c r="K15" i="4" s="1"/>
  <c r="F15" i="4"/>
  <c r="D15" i="4"/>
  <c r="C15" i="4"/>
  <c r="B15" i="4"/>
  <c r="J14" i="4"/>
  <c r="I14" i="4"/>
  <c r="H14" i="4"/>
  <c r="G14" i="4"/>
  <c r="K14" i="4" s="1"/>
  <c r="F14" i="4"/>
  <c r="D14" i="4"/>
  <c r="C14" i="4"/>
  <c r="B14" i="4"/>
  <c r="J13" i="4"/>
  <c r="I13" i="4"/>
  <c r="H13" i="4"/>
  <c r="G13" i="4"/>
  <c r="K13" i="4" s="1"/>
  <c r="F13" i="4"/>
  <c r="D13" i="4"/>
  <c r="C13" i="4"/>
  <c r="L13" i="4" s="1"/>
  <c r="B13" i="4"/>
  <c r="J12" i="4"/>
  <c r="I12" i="4"/>
  <c r="H12" i="4"/>
  <c r="G12" i="4"/>
  <c r="K12" i="4" s="1"/>
  <c r="F12" i="4"/>
  <c r="D12" i="4"/>
  <c r="C12" i="4"/>
  <c r="B12" i="4"/>
  <c r="J11" i="4"/>
  <c r="I11" i="4"/>
  <c r="H11" i="4"/>
  <c r="G11" i="4"/>
  <c r="K11" i="4" s="1"/>
  <c r="F11" i="4"/>
  <c r="D11" i="4"/>
  <c r="C11" i="4"/>
  <c r="L11" i="4" s="1"/>
  <c r="B11" i="4"/>
  <c r="J10" i="4"/>
  <c r="I10" i="4"/>
  <c r="H10" i="4"/>
  <c r="G10" i="4"/>
  <c r="K10" i="4" s="1"/>
  <c r="F10" i="4"/>
  <c r="D10" i="4"/>
  <c r="C10" i="4"/>
  <c r="B10" i="4"/>
  <c r="J9" i="4"/>
  <c r="I9" i="4"/>
  <c r="H9" i="4"/>
  <c r="G9" i="4"/>
  <c r="K9" i="4" s="1"/>
  <c r="F9" i="4"/>
  <c r="D9" i="4"/>
  <c r="C9" i="4"/>
  <c r="B9" i="4"/>
  <c r="J8" i="4"/>
  <c r="I8" i="4"/>
  <c r="H8" i="4"/>
  <c r="G8" i="4"/>
  <c r="K8" i="4" s="1"/>
  <c r="F8" i="4"/>
  <c r="D8" i="4"/>
  <c r="C8" i="4"/>
  <c r="B8" i="4"/>
  <c r="J7" i="4"/>
  <c r="I7" i="4"/>
  <c r="H7" i="4"/>
  <c r="G7" i="4"/>
  <c r="K7" i="4" s="1"/>
  <c r="F7" i="4"/>
  <c r="D7" i="4"/>
  <c r="C7" i="4"/>
  <c r="B7" i="4"/>
  <c r="J6" i="4"/>
  <c r="I6" i="4"/>
  <c r="H6" i="4"/>
  <c r="G6" i="4"/>
  <c r="K6" i="4" s="1"/>
  <c r="F6" i="4"/>
  <c r="D6" i="4"/>
  <c r="C6" i="4"/>
  <c r="B6" i="4"/>
  <c r="J5" i="4"/>
  <c r="I5" i="4"/>
  <c r="H5" i="4"/>
  <c r="G5" i="4"/>
  <c r="K5" i="4" s="1"/>
  <c r="F5" i="4"/>
  <c r="D5" i="4"/>
  <c r="C5" i="4"/>
  <c r="L5" i="4" s="1"/>
  <c r="B5" i="4"/>
  <c r="J4" i="4"/>
  <c r="H4" i="4"/>
  <c r="G4" i="4"/>
  <c r="F4" i="4"/>
  <c r="D4" i="4"/>
  <c r="C4" i="4"/>
  <c r="B4" i="4"/>
  <c r="K4" i="4" l="1"/>
  <c r="L8" i="4"/>
  <c r="L24" i="4"/>
  <c r="L33" i="4"/>
  <c r="L30" i="4"/>
  <c r="L15" i="4"/>
  <c r="L35" i="4"/>
  <c r="L36" i="4"/>
  <c r="L25" i="4"/>
  <c r="L28" i="4"/>
  <c r="L34" i="4"/>
  <c r="L39" i="4"/>
  <c r="L40" i="4"/>
  <c r="L41" i="4"/>
  <c r="L43" i="4"/>
  <c r="L4" i="4"/>
  <c r="L10" i="4"/>
  <c r="L6" i="4"/>
  <c r="L12" i="4"/>
  <c r="L23" i="4"/>
  <c r="L7" i="4"/>
  <c r="L14" i="4"/>
  <c r="L27" i="4"/>
  <c r="L44" i="4"/>
  <c r="L45" i="4"/>
  <c r="L19" i="4"/>
  <c r="L38" i="4"/>
  <c r="L42" i="4"/>
  <c r="L9" i="4"/>
  <c r="L18" i="4"/>
  <c r="M16" i="4" s="1"/>
  <c r="N16" i="4" s="1"/>
  <c r="O16" i="4" s="1"/>
  <c r="L17" i="4"/>
  <c r="M18" i="4" s="1"/>
  <c r="L20" i="4"/>
  <c r="L31" i="4"/>
  <c r="L22" i="4"/>
  <c r="L26" i="4"/>
  <c r="M44" i="4" l="1"/>
  <c r="N44" i="4" s="1"/>
  <c r="O44" i="4" s="1"/>
  <c r="M7" i="4"/>
  <c r="N7" i="4" s="1"/>
  <c r="O7" i="4" s="1"/>
  <c r="M27" i="4"/>
  <c r="N27" i="4" s="1"/>
  <c r="O27" i="4" s="1"/>
  <c r="M19" i="4"/>
  <c r="N19" i="4" s="1"/>
  <c r="O19" i="4" s="1"/>
  <c r="M21" i="4"/>
  <c r="N21" i="4" s="1"/>
  <c r="O21" i="4" s="1"/>
  <c r="M25" i="4"/>
  <c r="N25" i="4" s="1"/>
  <c r="O25" i="4" s="1"/>
  <c r="M17" i="4"/>
  <c r="N17" i="4" s="1"/>
  <c r="O17" i="4" s="1"/>
  <c r="M28" i="4"/>
  <c r="N28" i="4" s="1"/>
  <c r="O28" i="4" s="1"/>
  <c r="M10" i="4"/>
  <c r="N10" i="4" s="1"/>
  <c r="O10" i="4" s="1"/>
  <c r="M12" i="4"/>
  <c r="N12" i="4" s="1"/>
  <c r="O12" i="4" s="1"/>
  <c r="M11" i="4"/>
  <c r="N11" i="4" s="1"/>
  <c r="O11" i="4" s="1"/>
  <c r="M4" i="4"/>
  <c r="N4" i="4" s="1"/>
  <c r="O4" i="4" s="1"/>
  <c r="M6" i="4"/>
  <c r="N6" i="4" s="1"/>
  <c r="O6" i="4" s="1"/>
  <c r="M5" i="4"/>
  <c r="N5" i="4" s="1"/>
  <c r="O5" i="4" s="1"/>
  <c r="M42" i="4"/>
  <c r="N42" i="4" s="1"/>
  <c r="O42" i="4" s="1"/>
  <c r="M40" i="4"/>
  <c r="N40" i="4" s="1"/>
  <c r="O40" i="4" s="1"/>
  <c r="M41" i="4"/>
  <c r="N41" i="4" s="1"/>
  <c r="O41" i="4" s="1"/>
  <c r="M13" i="4"/>
  <c r="N13" i="4" s="1"/>
  <c r="O13" i="4" s="1"/>
  <c r="M15" i="4"/>
  <c r="N15" i="4" s="1"/>
  <c r="O15" i="4" s="1"/>
  <c r="M38" i="4"/>
  <c r="N38" i="4" s="1"/>
  <c r="O38" i="4" s="1"/>
  <c r="M37" i="4"/>
  <c r="N37" i="4" s="1"/>
  <c r="O37" i="4" s="1"/>
  <c r="M39" i="4"/>
  <c r="N39" i="4" s="1"/>
  <c r="O39" i="4" s="1"/>
  <c r="M32" i="4"/>
  <c r="N32" i="4" s="1"/>
  <c r="O32" i="4" s="1"/>
  <c r="M33" i="4"/>
  <c r="N33" i="4" s="1"/>
  <c r="O33" i="4" s="1"/>
  <c r="M31" i="4"/>
  <c r="N31" i="4" s="1"/>
  <c r="O31" i="4" s="1"/>
  <c r="M20" i="4"/>
  <c r="N20" i="4" s="1"/>
  <c r="O20" i="4" s="1"/>
  <c r="M9" i="4"/>
  <c r="N9" i="4" s="1"/>
  <c r="O9" i="4" s="1"/>
  <c r="M26" i="4"/>
  <c r="N26" i="4" s="1"/>
  <c r="O26" i="4" s="1"/>
  <c r="M29" i="4"/>
  <c r="N29" i="4" s="1"/>
  <c r="O29" i="4" s="1"/>
  <c r="M30" i="4"/>
  <c r="N30" i="4" s="1"/>
  <c r="O30" i="4" s="1"/>
  <c r="M8" i="4"/>
  <c r="N8" i="4" s="1"/>
  <c r="O8" i="4" s="1"/>
  <c r="M45" i="4"/>
  <c r="N45" i="4" s="1"/>
  <c r="O45" i="4" s="1"/>
  <c r="M43" i="4"/>
  <c r="N43" i="4" s="1"/>
  <c r="O43" i="4" s="1"/>
  <c r="M14" i="4"/>
  <c r="N14" i="4" s="1"/>
  <c r="O14" i="4" s="1"/>
  <c r="M36" i="4"/>
  <c r="N36" i="4" s="1"/>
  <c r="O36" i="4" s="1"/>
  <c r="M34" i="4"/>
  <c r="N34" i="4" s="1"/>
  <c r="O34" i="4" s="1"/>
  <c r="M35" i="4"/>
  <c r="N35" i="4" s="1"/>
  <c r="O35" i="4" s="1"/>
  <c r="M23" i="4"/>
  <c r="N23" i="4" s="1"/>
  <c r="O23" i="4" s="1"/>
  <c r="M22" i="4"/>
  <c r="N22" i="4" s="1"/>
  <c r="O22" i="4" s="1"/>
  <c r="M24" i="4"/>
  <c r="N24" i="4" s="1"/>
  <c r="O24" i="4" s="1"/>
  <c r="N18" i="4"/>
  <c r="O18" i="4" s="1"/>
  <c r="C6" i="5" l="1"/>
  <c r="C5" i="5"/>
  <c r="C4" i="5"/>
  <c r="C8" i="5" s="1"/>
  <c r="D5" i="5" l="1"/>
  <c r="D6" i="5"/>
  <c r="D4" i="5"/>
</calcChain>
</file>

<file path=xl/sharedStrings.xml><?xml version="1.0" encoding="utf-8"?>
<sst xmlns="http://schemas.openxmlformats.org/spreadsheetml/2006/main" count="153" uniqueCount="48">
  <si>
    <t>County</t>
  </si>
  <si>
    <t>Latitude</t>
  </si>
  <si>
    <t>Longitude</t>
  </si>
  <si>
    <t>Population</t>
  </si>
  <si>
    <t>Region</t>
  </si>
  <si>
    <t>Barnstable County</t>
  </si>
  <si>
    <t>Eastern</t>
  </si>
  <si>
    <t>Berkshire County</t>
  </si>
  <si>
    <t>Western</t>
  </si>
  <si>
    <t>Bristol County</t>
  </si>
  <si>
    <t>Dukes County</t>
  </si>
  <si>
    <t>Essex County</t>
  </si>
  <si>
    <t>Franklin County</t>
  </si>
  <si>
    <t>Hampden County</t>
  </si>
  <si>
    <t>Hampshire County</t>
  </si>
  <si>
    <t>Middlesex County</t>
  </si>
  <si>
    <t>Nantucket County</t>
  </si>
  <si>
    <t>Norfolk County</t>
  </si>
  <si>
    <t>Plymouth County</t>
  </si>
  <si>
    <t>Suffolk County</t>
  </si>
  <si>
    <t>Worcester County</t>
  </si>
  <si>
    <t>Central</t>
  </si>
  <si>
    <t>Hub_ID</t>
  </si>
  <si>
    <t>Hub_Name</t>
  </si>
  <si>
    <t>Hub_Latitude</t>
  </si>
  <si>
    <t>Hub_Longitude</t>
  </si>
  <si>
    <t>Attractiveness</t>
  </si>
  <si>
    <t>H1</t>
  </si>
  <si>
    <t>Boston</t>
  </si>
  <si>
    <t>H2</t>
  </si>
  <si>
    <t>Springfield</t>
  </si>
  <si>
    <t>H3</t>
  </si>
  <si>
    <t>Worcester</t>
  </si>
  <si>
    <t>Lambda (distance decay):</t>
  </si>
  <si>
    <t>County_Lat</t>
  </si>
  <si>
    <t>County_Lon</t>
  </si>
  <si>
    <t>Hub_Lat</t>
  </si>
  <si>
    <t>Hub_Lon</t>
  </si>
  <si>
    <t>Lambda</t>
  </si>
  <si>
    <t>Distance_mi</t>
  </si>
  <si>
    <t>Utility</t>
  </si>
  <si>
    <t>Sum_Utility</t>
  </si>
  <si>
    <t>Huff_Prob</t>
  </si>
  <si>
    <t>Expected_Pop</t>
  </si>
  <si>
    <t>Hub Analysis Summary</t>
  </si>
  <si>
    <t>Total_Expected_Pop</t>
  </si>
  <si>
    <t>Market_Share_%</t>
  </si>
  <si>
    <t>TOTAL POPULATION THAT AMAZON DRONES CAN DELIVER (EXP)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</si>
</sst>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 (Body)"/>
    </font>
    <font>
      <sz val="11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4472C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2" fontId="0" fillId="0" borderId="1" xfId="0" applyNumberFormat="1" applyBorder="1"/>
    <xf numFmtId="2" fontId="0" fillId="4" borderId="1" xfId="0" applyNumberForma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workbookViewId="0">
      <selection activeCell="E10" sqref="E10"/>
    </sheetView>
  </sheetViews>
  <sheetFormatPr defaultColWidth="8.81640625" defaultRowHeight="14.5"/>
  <cols>
    <col min="1" max="1" width="20" customWidth="1"/>
    <col min="2" max="4" width="15" customWidth="1"/>
    <col min="5" max="5" width="12" customWidth="1"/>
  </cols>
  <sheetData>
    <row r="1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>
      <c r="A2" s="12" t="s">
        <v>5</v>
      </c>
      <c r="B2" s="12">
        <v>41.783733329999997</v>
      </c>
      <c r="C2" s="12">
        <v>-70.177093330000005</v>
      </c>
      <c r="D2" s="12">
        <v>227942</v>
      </c>
      <c r="E2" s="12" t="s">
        <v>6</v>
      </c>
    </row>
    <row r="3" spans="1:5">
      <c r="A3" s="12" t="s">
        <v>7</v>
      </c>
      <c r="B3" s="12">
        <v>42.4022875</v>
      </c>
      <c r="C3" s="12">
        <v>-73.270909380000006</v>
      </c>
      <c r="D3" s="12">
        <v>129089</v>
      </c>
      <c r="E3" s="12" t="s">
        <v>8</v>
      </c>
    </row>
    <row r="4" spans="1:5">
      <c r="A4" s="12" t="s">
        <v>9</v>
      </c>
      <c r="B4" s="12">
        <v>41.879689999999997</v>
      </c>
      <c r="C4" s="12">
        <v>-71.209005000000005</v>
      </c>
      <c r="D4" s="12">
        <v>576070</v>
      </c>
      <c r="E4" s="12" t="s">
        <v>6</v>
      </c>
    </row>
    <row r="5" spans="1:5">
      <c r="A5" s="12" t="s">
        <v>10</v>
      </c>
      <c r="B5" s="12">
        <v>41.408285710000001</v>
      </c>
      <c r="C5" s="12">
        <v>-70.704357139999999</v>
      </c>
      <c r="D5" s="12">
        <v>20277</v>
      </c>
      <c r="E5" s="12" t="s">
        <v>6</v>
      </c>
    </row>
    <row r="6" spans="1:5">
      <c r="A6" s="12" t="s">
        <v>11</v>
      </c>
      <c r="B6" s="12">
        <v>42.65145588</v>
      </c>
      <c r="C6" s="12">
        <v>-70.968473529999997</v>
      </c>
      <c r="D6" s="12">
        <v>804598</v>
      </c>
      <c r="E6" s="12" t="s">
        <v>6</v>
      </c>
    </row>
    <row r="7" spans="1:5">
      <c r="A7" s="12" t="s">
        <v>12</v>
      </c>
      <c r="B7" s="12">
        <v>42.570376920000001</v>
      </c>
      <c r="C7" s="12">
        <v>-72.646642310000004</v>
      </c>
      <c r="D7" s="12">
        <v>71085</v>
      </c>
      <c r="E7" s="12" t="s">
        <v>8</v>
      </c>
    </row>
    <row r="8" spans="1:5">
      <c r="A8" s="12" t="s">
        <v>13</v>
      </c>
      <c r="B8" s="12">
        <v>42.117765220000003</v>
      </c>
      <c r="C8" s="12">
        <v>-72.610991299999995</v>
      </c>
      <c r="D8" s="12">
        <v>466265</v>
      </c>
      <c r="E8" s="12" t="s">
        <v>8</v>
      </c>
    </row>
    <row r="9" spans="1:5">
      <c r="A9" s="12" t="s">
        <v>14</v>
      </c>
      <c r="B9" s="12">
        <v>42.342489999999998</v>
      </c>
      <c r="C9" s="12">
        <v>-72.685040000000001</v>
      </c>
      <c r="D9" s="12">
        <v>161810</v>
      </c>
      <c r="E9" s="12" t="s">
        <v>8</v>
      </c>
    </row>
    <row r="10" spans="1:5">
      <c r="A10" s="12" t="s">
        <v>15</v>
      </c>
      <c r="B10" s="12">
        <v>42.460727779999999</v>
      </c>
      <c r="C10" s="12">
        <v>-71.325398149999998</v>
      </c>
      <c r="D10" s="12">
        <v>1623411</v>
      </c>
      <c r="E10" s="12" t="s">
        <v>6</v>
      </c>
    </row>
    <row r="11" spans="1:5">
      <c r="A11" s="12" t="s">
        <v>16</v>
      </c>
      <c r="B11" s="12">
        <v>41.283499999999997</v>
      </c>
      <c r="C11" s="12">
        <v>-70.099500000000006</v>
      </c>
      <c r="D11" s="12">
        <v>13795</v>
      </c>
      <c r="E11" s="12" t="s">
        <v>6</v>
      </c>
    </row>
    <row r="12" spans="1:5">
      <c r="A12" s="12" t="s">
        <v>17</v>
      </c>
      <c r="B12" s="12">
        <v>42.182442860000002</v>
      </c>
      <c r="C12" s="12">
        <v>-71.196432139999999</v>
      </c>
      <c r="D12" s="12">
        <v>720403</v>
      </c>
      <c r="E12" s="12" t="s">
        <v>6</v>
      </c>
    </row>
    <row r="13" spans="1:5">
      <c r="A13" s="12" t="s">
        <v>18</v>
      </c>
      <c r="B13" s="12">
        <v>41.99928148</v>
      </c>
      <c r="C13" s="12">
        <v>-70.850918519999993</v>
      </c>
      <c r="D13" s="12">
        <v>527602</v>
      </c>
      <c r="E13" s="12" t="s">
        <v>6</v>
      </c>
    </row>
    <row r="14" spans="1:5">
      <c r="A14" s="12" t="s">
        <v>19</v>
      </c>
      <c r="B14" s="12">
        <v>42.383150000000001</v>
      </c>
      <c r="C14" s="12">
        <v>-71.028599999999997</v>
      </c>
      <c r="D14" s="12">
        <v>792647</v>
      </c>
      <c r="E14" s="12" t="s">
        <v>6</v>
      </c>
    </row>
    <row r="15" spans="1:5">
      <c r="A15" s="12" t="s">
        <v>20</v>
      </c>
      <c r="B15" s="12">
        <v>42.31805833</v>
      </c>
      <c r="C15" s="12">
        <v>-71.840493330000001</v>
      </c>
      <c r="D15" s="12">
        <v>856858</v>
      </c>
      <c r="E15" s="1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5"/>
  <sheetViews>
    <sheetView showGridLines="0" tabSelected="1" zoomScale="86" zoomScaleNormal="140" workbookViewId="0">
      <selection activeCell="K1" sqref="K1"/>
    </sheetView>
  </sheetViews>
  <sheetFormatPr defaultColWidth="8.81640625" defaultRowHeight="14.5"/>
  <cols>
    <col min="1" max="1" width="20.453125" bestFit="1" customWidth="1"/>
    <col min="2" max="4" width="12" customWidth="1"/>
    <col min="5" max="5" width="10" customWidth="1"/>
    <col min="6" max="6" width="13" customWidth="1"/>
    <col min="7" max="8" width="12" customWidth="1"/>
    <col min="9" max="9" width="13" customWidth="1"/>
    <col min="10" max="10" width="10" customWidth="1"/>
    <col min="11" max="14" width="12" customWidth="1"/>
    <col min="15" max="15" width="13" customWidth="1"/>
  </cols>
  <sheetData>
    <row r="1" spans="1:15">
      <c r="A1" s="9" t="s">
        <v>33</v>
      </c>
      <c r="B1" s="10">
        <v>2</v>
      </c>
    </row>
    <row r="3" spans="1:15">
      <c r="A3" s="7" t="s">
        <v>0</v>
      </c>
      <c r="B3" s="7" t="s">
        <v>3</v>
      </c>
      <c r="C3" s="7" t="s">
        <v>34</v>
      </c>
      <c r="D3" s="7" t="s">
        <v>35</v>
      </c>
      <c r="E3" s="7" t="s">
        <v>22</v>
      </c>
      <c r="F3" s="7" t="s">
        <v>23</v>
      </c>
      <c r="G3" s="7" t="s">
        <v>36</v>
      </c>
      <c r="H3" s="7" t="s">
        <v>37</v>
      </c>
      <c r="I3" s="7" t="s">
        <v>26</v>
      </c>
      <c r="J3" s="7" t="s">
        <v>38</v>
      </c>
      <c r="K3" s="7" t="s">
        <v>39</v>
      </c>
      <c r="L3" s="7" t="s">
        <v>40</v>
      </c>
      <c r="M3" s="7" t="s">
        <v>41</v>
      </c>
      <c r="N3" s="7" t="s">
        <v>42</v>
      </c>
      <c r="O3" s="7" t="s">
        <v>43</v>
      </c>
    </row>
    <row r="4" spans="1:15">
      <c r="A4" s="8" t="s">
        <v>5</v>
      </c>
      <c r="B4" s="4">
        <f>VLOOKUP(A4,Counties!$A:$D,4,FALSE)</f>
        <v>227942</v>
      </c>
      <c r="C4" s="4">
        <f>VLOOKUP(A4,Counties!$A:$C,2,FALSE)</f>
        <v>41.783733329999997</v>
      </c>
      <c r="D4" s="4">
        <f>VLOOKUP(A4,Counties!$A:$D,3,FALSE)</f>
        <v>-70.177093330000005</v>
      </c>
      <c r="E4" s="4" t="s">
        <v>27</v>
      </c>
      <c r="F4" s="4" t="str">
        <f>VLOOKUP(E4,Hubs!$A:$E,2,FALSE)</f>
        <v>Boston</v>
      </c>
      <c r="G4" s="4">
        <f>VLOOKUP(E4,Hubs!$A:$E,3,FALSE)</f>
        <v>42.360100000000003</v>
      </c>
      <c r="H4" s="4">
        <f>VLOOKUP(E4,Hubs!$A:$E,4,FALSE)</f>
        <v>-71.058899999999994</v>
      </c>
      <c r="I4" s="4">
        <f>VLOOKUP(E4,Hubs!$A:$E,5,FALSE)</f>
        <v>1000</v>
      </c>
      <c r="J4" s="4">
        <f t="shared" ref="J4:J45" si="0">$B$1</f>
        <v>2</v>
      </c>
      <c r="K4" s="4">
        <f>69*SQRT((C4-G4)^2+(D4-H4)^2)</f>
        <v>72.688856912789319</v>
      </c>
      <c r="L4" s="4">
        <f t="shared" ref="L4:L45" si="1">I4/(K4^J4)</f>
        <v>0.18926239058755631</v>
      </c>
      <c r="M4" s="4">
        <f t="shared" ref="M4:M45" si="2">SUMIF($A:$A,A4,$L:$L)</f>
        <v>0.26883876461058359</v>
      </c>
      <c r="N4" s="4">
        <f t="shared" ref="N4:N45" si="3">L4/M4</f>
        <v>0.70399962915208791</v>
      </c>
      <c r="O4" s="4">
        <f t="shared" ref="O4:O45" si="4">B4*N4</f>
        <v>160471.08346818521</v>
      </c>
    </row>
    <row r="5" spans="1:15">
      <c r="A5" s="8" t="s">
        <v>5</v>
      </c>
      <c r="B5" s="4">
        <f>VLOOKUP(A5,Counties!$A:$D,4,FALSE)</f>
        <v>227942</v>
      </c>
      <c r="C5" s="4">
        <f>VLOOKUP(A5,Counties!$A:$C,2,FALSE)</f>
        <v>41.783733329999997</v>
      </c>
      <c r="D5" s="4">
        <f>VLOOKUP(A5,Counties!$A:$D,3,FALSE)</f>
        <v>-70.177093330000005</v>
      </c>
      <c r="E5" s="4" t="s">
        <v>29</v>
      </c>
      <c r="F5" s="4" t="str">
        <f>VLOOKUP(E5,Hubs!$A:$E,2,FALSE)</f>
        <v>Springfield</v>
      </c>
      <c r="G5" s="4">
        <f>VLOOKUP(E5,Hubs!$A:$E,3,FALSE)</f>
        <v>42.101500000000001</v>
      </c>
      <c r="H5" s="4">
        <f>VLOOKUP(E5,Hubs!$A:$E,4,FALSE)</f>
        <v>-72.589799999999997</v>
      </c>
      <c r="I5" s="4">
        <f>VLOOKUP(E5,Hubs!$A:$E,5,FALSE)</f>
        <v>800</v>
      </c>
      <c r="J5" s="4">
        <f t="shared" si="0"/>
        <v>2</v>
      </c>
      <c r="K5" s="4">
        <f t="shared" ref="K5:K45" si="5">69*SQRT((C5-G5)^2+(D5-H5)^2)</f>
        <v>167.91443296385407</v>
      </c>
      <c r="L5" s="4">
        <f t="shared" si="1"/>
        <v>2.8373566722359939E-2</v>
      </c>
      <c r="M5" s="4">
        <f t="shared" si="2"/>
        <v>0.26883876461058359</v>
      </c>
      <c r="N5" s="4">
        <f t="shared" si="3"/>
        <v>0.1055412033434219</v>
      </c>
      <c r="O5" s="4">
        <f t="shared" si="4"/>
        <v>24057.272972506275</v>
      </c>
    </row>
    <row r="6" spans="1:15">
      <c r="A6" s="8" t="s">
        <v>5</v>
      </c>
      <c r="B6" s="4">
        <f>VLOOKUP(A6,Counties!$A:$D,4,FALSE)</f>
        <v>227942</v>
      </c>
      <c r="C6" s="4">
        <f>VLOOKUP(A6,Counties!$A:$C,2,FALSE)</f>
        <v>41.783733329999997</v>
      </c>
      <c r="D6" s="4">
        <f>VLOOKUP(A6,Counties!$A:$D,3,FALSE)</f>
        <v>-70.177093330000005</v>
      </c>
      <c r="E6" s="4" t="s">
        <v>31</v>
      </c>
      <c r="F6" s="4" t="str">
        <f>VLOOKUP(E6,Hubs!$A:$E,2,FALSE)</f>
        <v>Worcester</v>
      </c>
      <c r="G6" s="4">
        <f>VLOOKUP(E6,Hubs!$A:$E,3,FALSE)</f>
        <v>42.2652</v>
      </c>
      <c r="H6" s="4">
        <f>VLOOKUP(E6,Hubs!$A:$E,4,FALSE)</f>
        <v>-71.8018</v>
      </c>
      <c r="I6" s="4">
        <f>VLOOKUP(E6,Hubs!$A:$E,5,FALSE)</f>
        <v>700</v>
      </c>
      <c r="J6" s="4">
        <f t="shared" si="0"/>
        <v>2</v>
      </c>
      <c r="K6" s="4">
        <f t="shared" si="5"/>
        <v>116.92358791513146</v>
      </c>
      <c r="L6" s="4">
        <f t="shared" si="1"/>
        <v>5.1202807300667327E-2</v>
      </c>
      <c r="M6" s="4">
        <f t="shared" si="2"/>
        <v>0.26883876461058359</v>
      </c>
      <c r="N6" s="4">
        <f t="shared" si="3"/>
        <v>0.1904591675044901</v>
      </c>
      <c r="O6" s="4">
        <f t="shared" si="4"/>
        <v>43413.643559308483</v>
      </c>
    </row>
    <row r="7" spans="1:15">
      <c r="A7" s="8" t="s">
        <v>7</v>
      </c>
      <c r="B7" s="4">
        <f>VLOOKUP(A7,Counties!$A:$D,4,FALSE)</f>
        <v>129089</v>
      </c>
      <c r="C7" s="4">
        <f>VLOOKUP(A7,Counties!$A:$C,2,FALSE)</f>
        <v>42.4022875</v>
      </c>
      <c r="D7" s="4">
        <f>VLOOKUP(A7,Counties!$A:$D,3,FALSE)</f>
        <v>-73.270909380000006</v>
      </c>
      <c r="E7" s="4" t="s">
        <v>27</v>
      </c>
      <c r="F7" s="4" t="str">
        <f>VLOOKUP(E7,Hubs!$A:$E,2,FALSE)</f>
        <v>Boston</v>
      </c>
      <c r="G7" s="4">
        <f>VLOOKUP(E7,Hubs!$A:$E,3,FALSE)</f>
        <v>42.360100000000003</v>
      </c>
      <c r="H7" s="4">
        <f>VLOOKUP(E7,Hubs!$A:$E,4,FALSE)</f>
        <v>-71.058899999999994</v>
      </c>
      <c r="I7" s="4">
        <f>VLOOKUP(E7,Hubs!$A:$E,5,FALSE)</f>
        <v>1000</v>
      </c>
      <c r="J7" s="4">
        <f t="shared" si="0"/>
        <v>2</v>
      </c>
      <c r="K7" s="4">
        <f t="shared" si="5"/>
        <v>152.65640343377794</v>
      </c>
      <c r="L7" s="4">
        <f t="shared" si="1"/>
        <v>4.2911129638679317E-2</v>
      </c>
      <c r="M7" s="4">
        <f t="shared" si="2"/>
        <v>0.41354286478460234</v>
      </c>
      <c r="N7" s="4">
        <f t="shared" si="3"/>
        <v>0.10376464761646892</v>
      </c>
      <c r="O7" s="4">
        <f t="shared" si="4"/>
        <v>13394.874596162357</v>
      </c>
    </row>
    <row r="8" spans="1:15">
      <c r="A8" s="8" t="s">
        <v>7</v>
      </c>
      <c r="B8" s="4">
        <f>VLOOKUP(A8,Counties!$A:$D,4,FALSE)</f>
        <v>129089</v>
      </c>
      <c r="C8" s="4">
        <f>VLOOKUP(A8,Counties!$A:$C,2,FALSE)</f>
        <v>42.4022875</v>
      </c>
      <c r="D8" s="4">
        <f>VLOOKUP(A8,Counties!$A:$D,3,FALSE)</f>
        <v>-73.270909380000006</v>
      </c>
      <c r="E8" s="4" t="s">
        <v>29</v>
      </c>
      <c r="F8" s="4" t="str">
        <f>VLOOKUP(E8,Hubs!$A:$E,2,FALSE)</f>
        <v>Springfield</v>
      </c>
      <c r="G8" s="4">
        <f>VLOOKUP(E8,Hubs!$A:$E,3,FALSE)</f>
        <v>42.101500000000001</v>
      </c>
      <c r="H8" s="4">
        <f>VLOOKUP(E8,Hubs!$A:$E,4,FALSE)</f>
        <v>-72.589799999999997</v>
      </c>
      <c r="I8" s="4">
        <f>VLOOKUP(E8,Hubs!$A:$E,5,FALSE)</f>
        <v>800</v>
      </c>
      <c r="J8" s="4">
        <f t="shared" si="0"/>
        <v>2</v>
      </c>
      <c r="K8" s="4">
        <f t="shared" si="5"/>
        <v>51.375266185837454</v>
      </c>
      <c r="L8" s="4">
        <f t="shared" si="1"/>
        <v>0.30309712496302993</v>
      </c>
      <c r="M8" s="4">
        <f t="shared" si="2"/>
        <v>0.41354286478460234</v>
      </c>
      <c r="N8" s="4">
        <f t="shared" si="3"/>
        <v>0.73292795202959404</v>
      </c>
      <c r="O8" s="4">
        <f t="shared" si="4"/>
        <v>94612.936399548271</v>
      </c>
    </row>
    <row r="9" spans="1:15">
      <c r="A9" s="8" t="s">
        <v>7</v>
      </c>
      <c r="B9" s="4">
        <f>VLOOKUP(A9,Counties!$A:$D,4,FALSE)</f>
        <v>129089</v>
      </c>
      <c r="C9" s="4">
        <f>VLOOKUP(A9,Counties!$A:$C,2,FALSE)</f>
        <v>42.4022875</v>
      </c>
      <c r="D9" s="4">
        <f>VLOOKUP(A9,Counties!$A:$D,3,FALSE)</f>
        <v>-73.270909380000006</v>
      </c>
      <c r="E9" s="4" t="s">
        <v>31</v>
      </c>
      <c r="F9" s="4" t="str">
        <f>VLOOKUP(E9,Hubs!$A:$E,2,FALSE)</f>
        <v>Worcester</v>
      </c>
      <c r="G9" s="4">
        <f>VLOOKUP(E9,Hubs!$A:$E,3,FALSE)</f>
        <v>42.2652</v>
      </c>
      <c r="H9" s="4">
        <f>VLOOKUP(E9,Hubs!$A:$E,4,FALSE)</f>
        <v>-71.8018</v>
      </c>
      <c r="I9" s="4">
        <f>VLOOKUP(E9,Hubs!$A:$E,5,FALSE)</f>
        <v>700</v>
      </c>
      <c r="J9" s="4">
        <f t="shared" si="0"/>
        <v>2</v>
      </c>
      <c r="K9" s="4">
        <f t="shared" si="5"/>
        <v>101.80891786046968</v>
      </c>
      <c r="L9" s="4">
        <f t="shared" si="1"/>
        <v>6.7534610182893071E-2</v>
      </c>
      <c r="M9" s="4">
        <f t="shared" si="2"/>
        <v>0.41354286478460234</v>
      </c>
      <c r="N9" s="4">
        <f t="shared" si="3"/>
        <v>0.16330740035393695</v>
      </c>
      <c r="O9" s="4">
        <f t="shared" si="4"/>
        <v>21081.189004289368</v>
      </c>
    </row>
    <row r="10" spans="1:15">
      <c r="A10" s="8" t="s">
        <v>9</v>
      </c>
      <c r="B10" s="4">
        <f>VLOOKUP(A10,Counties!$A:$D,4,FALSE)</f>
        <v>576070</v>
      </c>
      <c r="C10" s="4">
        <f>VLOOKUP(A10,Counties!$A:$C,2,FALSE)</f>
        <v>41.879689999999997</v>
      </c>
      <c r="D10" s="4">
        <f>VLOOKUP(A10,Counties!$A:$D,3,FALSE)</f>
        <v>-71.209005000000005</v>
      </c>
      <c r="E10" s="4" t="s">
        <v>27</v>
      </c>
      <c r="F10" s="4" t="str">
        <f>VLOOKUP(E10,Hubs!$A:$E,2,FALSE)</f>
        <v>Boston</v>
      </c>
      <c r="G10" s="4">
        <f>VLOOKUP(E10,Hubs!$A:$E,3,FALSE)</f>
        <v>42.360100000000003</v>
      </c>
      <c r="H10" s="4">
        <f>VLOOKUP(E10,Hubs!$A:$E,4,FALSE)</f>
        <v>-71.058899999999994</v>
      </c>
      <c r="I10" s="4">
        <f>VLOOKUP(E10,Hubs!$A:$E,5,FALSE)</f>
        <v>1000</v>
      </c>
      <c r="J10" s="4">
        <f t="shared" si="0"/>
        <v>2</v>
      </c>
      <c r="K10" s="4">
        <f t="shared" si="5"/>
        <v>34.728686325776401</v>
      </c>
      <c r="L10" s="4">
        <f t="shared" si="1"/>
        <v>0.82913125886181949</v>
      </c>
      <c r="M10" s="4">
        <f t="shared" si="2"/>
        <v>1.209088009322697</v>
      </c>
      <c r="N10" s="4">
        <f t="shared" si="3"/>
        <v>0.68574930234092679</v>
      </c>
      <c r="O10" s="4">
        <f t="shared" si="4"/>
        <v>395039.60059953772</v>
      </c>
    </row>
    <row r="11" spans="1:15">
      <c r="A11" s="8" t="s">
        <v>9</v>
      </c>
      <c r="B11" s="4">
        <f>VLOOKUP(A11,Counties!$A:$D,4,FALSE)</f>
        <v>576070</v>
      </c>
      <c r="C11" s="4">
        <f>VLOOKUP(A11,Counties!$A:$C,2,FALSE)</f>
        <v>41.879689999999997</v>
      </c>
      <c r="D11" s="4">
        <f>VLOOKUP(A11,Counties!$A:$D,3,FALSE)</f>
        <v>-71.209005000000005</v>
      </c>
      <c r="E11" s="4" t="s">
        <v>29</v>
      </c>
      <c r="F11" s="4" t="str">
        <f>VLOOKUP(E11,Hubs!$A:$E,2,FALSE)</f>
        <v>Springfield</v>
      </c>
      <c r="G11" s="4">
        <f>VLOOKUP(E11,Hubs!$A:$E,3,FALSE)</f>
        <v>42.101500000000001</v>
      </c>
      <c r="H11" s="4">
        <f>VLOOKUP(E11,Hubs!$A:$E,4,FALSE)</f>
        <v>-72.589799999999997</v>
      </c>
      <c r="I11" s="4">
        <f>VLOOKUP(E11,Hubs!$A:$E,5,FALSE)</f>
        <v>800</v>
      </c>
      <c r="J11" s="4">
        <f t="shared" si="0"/>
        <v>2</v>
      </c>
      <c r="K11" s="4">
        <f t="shared" si="5"/>
        <v>96.496309013262419</v>
      </c>
      <c r="L11" s="4">
        <f t="shared" si="1"/>
        <v>8.5914918652187408E-2</v>
      </c>
      <c r="M11" s="4">
        <f t="shared" si="2"/>
        <v>1.209088009322697</v>
      </c>
      <c r="N11" s="4">
        <f t="shared" si="3"/>
        <v>7.1057621934663751E-2</v>
      </c>
      <c r="O11" s="4">
        <f t="shared" si="4"/>
        <v>40934.164267901746</v>
      </c>
    </row>
    <row r="12" spans="1:15">
      <c r="A12" s="8" t="s">
        <v>9</v>
      </c>
      <c r="B12" s="4">
        <f>VLOOKUP(A12,Counties!$A:$D,4,FALSE)</f>
        <v>576070</v>
      </c>
      <c r="C12" s="4">
        <f>VLOOKUP(A12,Counties!$A:$C,2,FALSE)</f>
        <v>41.879689999999997</v>
      </c>
      <c r="D12" s="4">
        <f>VLOOKUP(A12,Counties!$A:$D,3,FALSE)</f>
        <v>-71.209005000000005</v>
      </c>
      <c r="E12" s="4" t="s">
        <v>31</v>
      </c>
      <c r="F12" s="4" t="str">
        <f>VLOOKUP(E12,Hubs!$A:$E,2,FALSE)</f>
        <v>Worcester</v>
      </c>
      <c r="G12" s="4">
        <f>VLOOKUP(E12,Hubs!$A:$E,3,FALSE)</f>
        <v>42.2652</v>
      </c>
      <c r="H12" s="4">
        <f>VLOOKUP(E12,Hubs!$A:$E,4,FALSE)</f>
        <v>-71.8018</v>
      </c>
      <c r="I12" s="4">
        <f>VLOOKUP(E12,Hubs!$A:$E,5,FALSE)</f>
        <v>700</v>
      </c>
      <c r="J12" s="4">
        <f t="shared" si="0"/>
        <v>2</v>
      </c>
      <c r="K12" s="4">
        <f t="shared" si="5"/>
        <v>48.791532617731036</v>
      </c>
      <c r="L12" s="4">
        <f t="shared" si="1"/>
        <v>0.2940418318086902</v>
      </c>
      <c r="M12" s="4">
        <f t="shared" si="2"/>
        <v>1.209088009322697</v>
      </c>
      <c r="N12" s="4">
        <f t="shared" si="3"/>
        <v>0.24319307572440951</v>
      </c>
      <c r="O12" s="4">
        <f t="shared" si="4"/>
        <v>140096.2351325606</v>
      </c>
    </row>
    <row r="13" spans="1:15">
      <c r="A13" s="8" t="s">
        <v>10</v>
      </c>
      <c r="B13" s="4">
        <f>VLOOKUP(A13,Counties!$A:$D,4,FALSE)</f>
        <v>20277</v>
      </c>
      <c r="C13" s="4">
        <f>VLOOKUP(A13,Counties!$A:$C,2,FALSE)</f>
        <v>41.408285710000001</v>
      </c>
      <c r="D13" s="4">
        <f>VLOOKUP(A13,Counties!$A:$D,3,FALSE)</f>
        <v>-70.704357139999999</v>
      </c>
      <c r="E13" s="4" t="s">
        <v>27</v>
      </c>
      <c r="F13" s="4" t="str">
        <f>VLOOKUP(E13,Hubs!$A:$E,2,FALSE)</f>
        <v>Boston</v>
      </c>
      <c r="G13" s="4">
        <f>VLOOKUP(E13,Hubs!$A:$E,3,FALSE)</f>
        <v>42.360100000000003</v>
      </c>
      <c r="H13" s="4">
        <f>VLOOKUP(E13,Hubs!$A:$E,4,FALSE)</f>
        <v>-71.058899999999994</v>
      </c>
      <c r="I13" s="4">
        <f>VLOOKUP(E13,Hubs!$A:$E,5,FALSE)</f>
        <v>1000</v>
      </c>
      <c r="J13" s="4">
        <f t="shared" si="0"/>
        <v>2</v>
      </c>
      <c r="K13" s="4">
        <f t="shared" si="5"/>
        <v>70.083455982664674</v>
      </c>
      <c r="L13" s="4">
        <f t="shared" si="1"/>
        <v>0.20359587771613882</v>
      </c>
      <c r="M13" s="4">
        <f t="shared" si="2"/>
        <v>0.32107401137526742</v>
      </c>
      <c r="N13" s="4">
        <f t="shared" si="3"/>
        <v>0.63410886743548489</v>
      </c>
      <c r="O13" s="4">
        <f t="shared" si="4"/>
        <v>12857.825504989327</v>
      </c>
    </row>
    <row r="14" spans="1:15">
      <c r="A14" s="8" t="s">
        <v>10</v>
      </c>
      <c r="B14" s="4">
        <f>VLOOKUP(A14,Counties!$A:$D,4,FALSE)</f>
        <v>20277</v>
      </c>
      <c r="C14" s="4">
        <f>VLOOKUP(A14,Counties!$A:$C,2,FALSE)</f>
        <v>41.408285710000001</v>
      </c>
      <c r="D14" s="4">
        <f>VLOOKUP(A14,Counties!$A:$D,3,FALSE)</f>
        <v>-70.704357139999999</v>
      </c>
      <c r="E14" s="4" t="s">
        <v>29</v>
      </c>
      <c r="F14" s="4" t="str">
        <f>VLOOKUP(E14,Hubs!$A:$E,2,FALSE)</f>
        <v>Springfield</v>
      </c>
      <c r="G14" s="4">
        <f>VLOOKUP(E14,Hubs!$A:$E,3,FALSE)</f>
        <v>42.101500000000001</v>
      </c>
      <c r="H14" s="4">
        <f>VLOOKUP(E14,Hubs!$A:$E,4,FALSE)</f>
        <v>-72.589799999999997</v>
      </c>
      <c r="I14" s="4">
        <f>VLOOKUP(E14,Hubs!$A:$E,5,FALSE)</f>
        <v>800</v>
      </c>
      <c r="J14" s="4">
        <f t="shared" si="0"/>
        <v>2</v>
      </c>
      <c r="K14" s="4">
        <f t="shared" si="5"/>
        <v>138.61000610530115</v>
      </c>
      <c r="L14" s="4">
        <f t="shared" si="1"/>
        <v>4.1639050883628487E-2</v>
      </c>
      <c r="M14" s="4">
        <f t="shared" si="2"/>
        <v>0.32107401137526742</v>
      </c>
      <c r="N14" s="4">
        <f t="shared" si="3"/>
        <v>0.12968676818554856</v>
      </c>
      <c r="O14" s="4">
        <f t="shared" si="4"/>
        <v>2629.6585984983681</v>
      </c>
    </row>
    <row r="15" spans="1:15">
      <c r="A15" s="8" t="s">
        <v>10</v>
      </c>
      <c r="B15" s="4">
        <f>VLOOKUP(A15,Counties!$A:$D,4,FALSE)</f>
        <v>20277</v>
      </c>
      <c r="C15" s="4">
        <f>VLOOKUP(A15,Counties!$A:$C,2,FALSE)</f>
        <v>41.408285710000001</v>
      </c>
      <c r="D15" s="4">
        <f>VLOOKUP(A15,Counties!$A:$D,3,FALSE)</f>
        <v>-70.704357139999999</v>
      </c>
      <c r="E15" s="4" t="s">
        <v>31</v>
      </c>
      <c r="F15" s="4" t="str">
        <f>VLOOKUP(E15,Hubs!$A:$E,2,FALSE)</f>
        <v>Worcester</v>
      </c>
      <c r="G15" s="4">
        <f>VLOOKUP(E15,Hubs!$A:$E,3,FALSE)</f>
        <v>42.2652</v>
      </c>
      <c r="H15" s="4">
        <f>VLOOKUP(E15,Hubs!$A:$E,4,FALSE)</f>
        <v>-71.8018</v>
      </c>
      <c r="I15" s="4">
        <f>VLOOKUP(E15,Hubs!$A:$E,5,FALSE)</f>
        <v>700</v>
      </c>
      <c r="J15" s="4">
        <f t="shared" si="0"/>
        <v>2</v>
      </c>
      <c r="K15" s="4">
        <f t="shared" si="5"/>
        <v>96.073250367926079</v>
      </c>
      <c r="L15" s="4">
        <f t="shared" si="1"/>
        <v>7.5839082775500111E-2</v>
      </c>
      <c r="M15" s="4">
        <f t="shared" si="2"/>
        <v>0.32107401137526742</v>
      </c>
      <c r="N15" s="4">
        <f t="shared" si="3"/>
        <v>0.23620436437896652</v>
      </c>
      <c r="O15" s="4">
        <f t="shared" si="4"/>
        <v>4789.5158965123046</v>
      </c>
    </row>
    <row r="16" spans="1:15">
      <c r="A16" s="8" t="s">
        <v>11</v>
      </c>
      <c r="B16" s="4">
        <f>VLOOKUP(A16,Counties!$A:$D,4,FALSE)</f>
        <v>804598</v>
      </c>
      <c r="C16" s="4">
        <f>VLOOKUP(A16,Counties!$A:$C,2,FALSE)</f>
        <v>42.65145588</v>
      </c>
      <c r="D16" s="4">
        <f>VLOOKUP(A16,Counties!$A:$D,3,FALSE)</f>
        <v>-70.968473529999997</v>
      </c>
      <c r="E16" s="4" t="s">
        <v>27</v>
      </c>
      <c r="F16" s="4" t="str">
        <f>VLOOKUP(E16,Hubs!$A:$E,2,FALSE)</f>
        <v>Boston</v>
      </c>
      <c r="G16" s="4">
        <f>VLOOKUP(E16,Hubs!$A:$E,3,FALSE)</f>
        <v>42.360100000000003</v>
      </c>
      <c r="H16" s="4">
        <f>VLOOKUP(E16,Hubs!$A:$E,4,FALSE)</f>
        <v>-71.058899999999994</v>
      </c>
      <c r="I16" s="4">
        <f>VLOOKUP(E16,Hubs!$A:$E,5,FALSE)</f>
        <v>1000</v>
      </c>
      <c r="J16" s="4">
        <f t="shared" si="0"/>
        <v>2</v>
      </c>
      <c r="K16" s="4">
        <f t="shared" si="5"/>
        <v>21.049546188992249</v>
      </c>
      <c r="L16" s="4">
        <f t="shared" si="1"/>
        <v>2.25691147946534</v>
      </c>
      <c r="M16" s="4">
        <f t="shared" si="2"/>
        <v>2.48851855768189</v>
      </c>
      <c r="N16" s="4">
        <f t="shared" si="3"/>
        <v>0.90692973636801122</v>
      </c>
      <c r="O16" s="4">
        <f t="shared" si="4"/>
        <v>729713.85202222911</v>
      </c>
    </row>
    <row r="17" spans="1:15">
      <c r="A17" s="8" t="s">
        <v>11</v>
      </c>
      <c r="B17" s="4">
        <f>VLOOKUP(A17,Counties!$A:$D,4,FALSE)</f>
        <v>804598</v>
      </c>
      <c r="C17" s="4">
        <f>VLOOKUP(A17,Counties!$A:$C,2,FALSE)</f>
        <v>42.65145588</v>
      </c>
      <c r="D17" s="4">
        <f>VLOOKUP(A17,Counties!$A:$D,3,FALSE)</f>
        <v>-70.968473529999997</v>
      </c>
      <c r="E17" s="4" t="s">
        <v>29</v>
      </c>
      <c r="F17" s="4" t="str">
        <f>VLOOKUP(E17,Hubs!$A:$E,2,FALSE)</f>
        <v>Springfield</v>
      </c>
      <c r="G17" s="4">
        <f>VLOOKUP(E17,Hubs!$A:$E,3,FALSE)</f>
        <v>42.101500000000001</v>
      </c>
      <c r="H17" s="4">
        <f>VLOOKUP(E17,Hubs!$A:$E,4,FALSE)</f>
        <v>-72.589799999999997</v>
      </c>
      <c r="I17" s="4">
        <f>VLOOKUP(E17,Hubs!$A:$E,5,FALSE)</f>
        <v>800</v>
      </c>
      <c r="J17" s="4">
        <f t="shared" si="0"/>
        <v>2</v>
      </c>
      <c r="K17" s="4">
        <f t="shared" si="5"/>
        <v>118.13217120748192</v>
      </c>
      <c r="L17" s="4">
        <f t="shared" si="1"/>
        <v>5.7326260745054924E-2</v>
      </c>
      <c r="M17" s="4">
        <f t="shared" si="2"/>
        <v>2.48851855768189</v>
      </c>
      <c r="N17" s="4">
        <f t="shared" si="3"/>
        <v>2.3036300279173166E-2</v>
      </c>
      <c r="O17" s="4">
        <f t="shared" si="4"/>
        <v>18534.96113202217</v>
      </c>
    </row>
    <row r="18" spans="1:15">
      <c r="A18" s="8" t="s">
        <v>11</v>
      </c>
      <c r="B18" s="4">
        <f>VLOOKUP(A18,Counties!$A:$D,4,FALSE)</f>
        <v>804598</v>
      </c>
      <c r="C18" s="4">
        <f>VLOOKUP(A18,Counties!$A:$C,2,FALSE)</f>
        <v>42.65145588</v>
      </c>
      <c r="D18" s="4">
        <f>VLOOKUP(A18,Counties!$A:$D,3,FALSE)</f>
        <v>-70.968473529999997</v>
      </c>
      <c r="E18" s="4" t="s">
        <v>31</v>
      </c>
      <c r="F18" s="4" t="str">
        <f>VLOOKUP(E18,Hubs!$A:$E,2,FALSE)</f>
        <v>Worcester</v>
      </c>
      <c r="G18" s="4">
        <f>VLOOKUP(E18,Hubs!$A:$E,3,FALSE)</f>
        <v>42.2652</v>
      </c>
      <c r="H18" s="4">
        <f>VLOOKUP(E18,Hubs!$A:$E,4,FALSE)</f>
        <v>-71.8018</v>
      </c>
      <c r="I18" s="4">
        <f>VLOOKUP(E18,Hubs!$A:$E,5,FALSE)</f>
        <v>700</v>
      </c>
      <c r="J18" s="4">
        <f t="shared" si="0"/>
        <v>2</v>
      </c>
      <c r="K18" s="4">
        <f t="shared" si="5"/>
        <v>63.375912555889094</v>
      </c>
      <c r="L18" s="4">
        <f t="shared" si="1"/>
        <v>0.17428081747149474</v>
      </c>
      <c r="M18" s="4">
        <f t="shared" si="2"/>
        <v>2.48851855768189</v>
      </c>
      <c r="N18" s="4">
        <f t="shared" si="3"/>
        <v>7.003396335281549E-2</v>
      </c>
      <c r="O18" s="4">
        <f t="shared" si="4"/>
        <v>56349.186845748634</v>
      </c>
    </row>
    <row r="19" spans="1:15">
      <c r="A19" s="8" t="s">
        <v>12</v>
      </c>
      <c r="B19" s="4">
        <f>VLOOKUP(A19,Counties!$A:$D,4,FALSE)</f>
        <v>71085</v>
      </c>
      <c r="C19" s="4">
        <f>VLOOKUP(A19,Counties!$A:$C,2,FALSE)</f>
        <v>42.570376920000001</v>
      </c>
      <c r="D19" s="4">
        <f>VLOOKUP(A19,Counties!$A:$D,3,FALSE)</f>
        <v>-72.646642310000004</v>
      </c>
      <c r="E19" s="4" t="s">
        <v>27</v>
      </c>
      <c r="F19" s="4" t="str">
        <f>VLOOKUP(E19,Hubs!$A:$E,2,FALSE)</f>
        <v>Boston</v>
      </c>
      <c r="G19" s="4">
        <f>VLOOKUP(E19,Hubs!$A:$E,3,FALSE)</f>
        <v>42.360100000000003</v>
      </c>
      <c r="H19" s="4">
        <f>VLOOKUP(E19,Hubs!$A:$E,4,FALSE)</f>
        <v>-71.058899999999994</v>
      </c>
      <c r="I19" s="4">
        <f>VLOOKUP(E19,Hubs!$A:$E,5,FALSE)</f>
        <v>1000</v>
      </c>
      <c r="J19" s="4">
        <f t="shared" si="0"/>
        <v>2</v>
      </c>
      <c r="K19" s="4">
        <f t="shared" si="5"/>
        <v>110.51081931656553</v>
      </c>
      <c r="L19" s="4">
        <f t="shared" si="1"/>
        <v>8.1882369650295689E-2</v>
      </c>
      <c r="M19" s="4">
        <f t="shared" si="2"/>
        <v>1.0173452302304622</v>
      </c>
      <c r="N19" s="4">
        <f t="shared" si="3"/>
        <v>8.0486315969404643E-2</v>
      </c>
      <c r="O19" s="4">
        <f t="shared" si="4"/>
        <v>5721.369770685129</v>
      </c>
    </row>
    <row r="20" spans="1:15">
      <c r="A20" s="8" t="s">
        <v>12</v>
      </c>
      <c r="B20" s="4">
        <f>VLOOKUP(A20,Counties!$A:$D,4,FALSE)</f>
        <v>71085</v>
      </c>
      <c r="C20" s="4">
        <f>VLOOKUP(A20,Counties!$A:$C,2,FALSE)</f>
        <v>42.570376920000001</v>
      </c>
      <c r="D20" s="4">
        <f>VLOOKUP(A20,Counties!$A:$D,3,FALSE)</f>
        <v>-72.646642310000004</v>
      </c>
      <c r="E20" s="4" t="s">
        <v>29</v>
      </c>
      <c r="F20" s="4" t="str">
        <f>VLOOKUP(E20,Hubs!$A:$E,2,FALSE)</f>
        <v>Springfield</v>
      </c>
      <c r="G20" s="4">
        <f>VLOOKUP(E20,Hubs!$A:$E,3,FALSE)</f>
        <v>42.101500000000001</v>
      </c>
      <c r="H20" s="4">
        <f>VLOOKUP(E20,Hubs!$A:$E,4,FALSE)</f>
        <v>-72.589799999999997</v>
      </c>
      <c r="I20" s="4">
        <f>VLOOKUP(E20,Hubs!$A:$E,5,FALSE)</f>
        <v>800</v>
      </c>
      <c r="J20" s="4">
        <f t="shared" si="0"/>
        <v>2</v>
      </c>
      <c r="K20" s="4">
        <f t="shared" si="5"/>
        <v>32.589381104170606</v>
      </c>
      <c r="L20" s="4">
        <f t="shared" si="1"/>
        <v>0.75324760769774324</v>
      </c>
      <c r="M20" s="4">
        <f t="shared" si="2"/>
        <v>1.0173452302304622</v>
      </c>
      <c r="N20" s="4">
        <f t="shared" si="3"/>
        <v>0.7404051105907361</v>
      </c>
      <c r="O20" s="4">
        <f t="shared" si="4"/>
        <v>52631.697286342474</v>
      </c>
    </row>
    <row r="21" spans="1:15">
      <c r="A21" s="8" t="s">
        <v>12</v>
      </c>
      <c r="B21" s="4">
        <f>VLOOKUP(A21,Counties!$A:$D,4,FALSE)</f>
        <v>71085</v>
      </c>
      <c r="C21" s="4">
        <f>VLOOKUP(A21,Counties!$A:$C,2,FALSE)</f>
        <v>42.570376920000001</v>
      </c>
      <c r="D21" s="4">
        <f>VLOOKUP(A21,Counties!$A:$D,3,FALSE)</f>
        <v>-72.646642310000004</v>
      </c>
      <c r="E21" s="4" t="s">
        <v>31</v>
      </c>
      <c r="F21" s="4" t="str">
        <f>VLOOKUP(E21,Hubs!$A:$E,2,FALSE)</f>
        <v>Worcester</v>
      </c>
      <c r="G21" s="4">
        <f>VLOOKUP(E21,Hubs!$A:$E,3,FALSE)</f>
        <v>42.2652</v>
      </c>
      <c r="H21" s="4">
        <f>VLOOKUP(E21,Hubs!$A:$E,4,FALSE)</f>
        <v>-71.8018</v>
      </c>
      <c r="I21" s="4">
        <f>VLOOKUP(E21,Hubs!$A:$E,5,FALSE)</f>
        <v>700</v>
      </c>
      <c r="J21" s="4">
        <f t="shared" si="0"/>
        <v>2</v>
      </c>
      <c r="K21" s="4">
        <f t="shared" si="5"/>
        <v>61.980725571030369</v>
      </c>
      <c r="L21" s="4">
        <f t="shared" si="1"/>
        <v>0.18221525288242318</v>
      </c>
      <c r="M21" s="4">
        <f t="shared" si="2"/>
        <v>1.0173452302304622</v>
      </c>
      <c r="N21" s="4">
        <f t="shared" si="3"/>
        <v>0.17910857343985917</v>
      </c>
      <c r="O21" s="4">
        <f t="shared" si="4"/>
        <v>12731.932942972389</v>
      </c>
    </row>
    <row r="22" spans="1:15">
      <c r="A22" s="8" t="s">
        <v>13</v>
      </c>
      <c r="B22" s="4">
        <f>VLOOKUP(A22,Counties!$A:$D,4,FALSE)</f>
        <v>466265</v>
      </c>
      <c r="C22" s="4">
        <f>VLOOKUP(A22,Counties!$A:$C,2,FALSE)</f>
        <v>42.117765220000003</v>
      </c>
      <c r="D22" s="4">
        <f>VLOOKUP(A22,Counties!$A:$D,3,FALSE)</f>
        <v>-72.610991299999995</v>
      </c>
      <c r="E22" s="4" t="s">
        <v>27</v>
      </c>
      <c r="F22" s="4" t="str">
        <f>VLOOKUP(E22,Hubs!$A:$E,2,FALSE)</f>
        <v>Boston</v>
      </c>
      <c r="G22" s="4">
        <f>VLOOKUP(E22,Hubs!$A:$E,3,FALSE)</f>
        <v>42.360100000000003</v>
      </c>
      <c r="H22" s="4">
        <f>VLOOKUP(E22,Hubs!$A:$E,4,FALSE)</f>
        <v>-71.058899999999994</v>
      </c>
      <c r="I22" s="4">
        <f>VLOOKUP(E22,Hubs!$A:$E,5,FALSE)</f>
        <v>1000</v>
      </c>
      <c r="J22" s="4">
        <f t="shared" si="0"/>
        <v>2</v>
      </c>
      <c r="K22" s="4">
        <f t="shared" si="5"/>
        <v>108.3918087653483</v>
      </c>
      <c r="L22" s="4">
        <f t="shared" si="1"/>
        <v>8.5115189992860607E-2</v>
      </c>
      <c r="M22" s="4">
        <f t="shared" si="2"/>
        <v>235.7637614834006</v>
      </c>
      <c r="N22" s="4">
        <f t="shared" si="3"/>
        <v>3.6101896855277867E-4</v>
      </c>
      <c r="O22" s="4">
        <f t="shared" si="4"/>
        <v>168.33050937226136</v>
      </c>
    </row>
    <row r="23" spans="1:15">
      <c r="A23" s="8" t="s">
        <v>13</v>
      </c>
      <c r="B23" s="4">
        <f>VLOOKUP(A23,Counties!$A:$D,4,FALSE)</f>
        <v>466265</v>
      </c>
      <c r="C23" s="4">
        <f>VLOOKUP(A23,Counties!$A:$C,2,FALSE)</f>
        <v>42.117765220000003</v>
      </c>
      <c r="D23" s="4">
        <f>VLOOKUP(A23,Counties!$A:$D,3,FALSE)</f>
        <v>-72.610991299999995</v>
      </c>
      <c r="E23" s="4" t="s">
        <v>29</v>
      </c>
      <c r="F23" s="4" t="str">
        <f>VLOOKUP(E23,Hubs!$A:$E,2,FALSE)</f>
        <v>Springfield</v>
      </c>
      <c r="G23" s="4">
        <f>VLOOKUP(E23,Hubs!$A:$E,3,FALSE)</f>
        <v>42.101500000000001</v>
      </c>
      <c r="H23" s="4">
        <f>VLOOKUP(E23,Hubs!$A:$E,4,FALSE)</f>
        <v>-72.589799999999997</v>
      </c>
      <c r="I23" s="4">
        <f>VLOOKUP(E23,Hubs!$A:$E,5,FALSE)</f>
        <v>800</v>
      </c>
      <c r="J23" s="4">
        <f t="shared" si="0"/>
        <v>2</v>
      </c>
      <c r="K23" s="4">
        <f t="shared" si="5"/>
        <v>1.8432540944503319</v>
      </c>
      <c r="L23" s="4">
        <f t="shared" si="1"/>
        <v>235.46131895763861</v>
      </c>
      <c r="M23" s="4">
        <f t="shared" si="2"/>
        <v>235.7637614834006</v>
      </c>
      <c r="N23" s="4">
        <f t="shared" si="3"/>
        <v>0.99871717975714736</v>
      </c>
      <c r="O23" s="4">
        <f t="shared" si="4"/>
        <v>465666.8658194663</v>
      </c>
    </row>
    <row r="24" spans="1:15">
      <c r="A24" s="8" t="s">
        <v>13</v>
      </c>
      <c r="B24" s="4">
        <f>VLOOKUP(A24,Counties!$A:$D,4,FALSE)</f>
        <v>466265</v>
      </c>
      <c r="C24" s="4">
        <f>VLOOKUP(A24,Counties!$A:$C,2,FALSE)</f>
        <v>42.117765220000003</v>
      </c>
      <c r="D24" s="4">
        <f>VLOOKUP(A24,Counties!$A:$D,3,FALSE)</f>
        <v>-72.610991299999995</v>
      </c>
      <c r="E24" s="4" t="s">
        <v>31</v>
      </c>
      <c r="F24" s="4" t="str">
        <f>VLOOKUP(E24,Hubs!$A:$E,2,FALSE)</f>
        <v>Worcester</v>
      </c>
      <c r="G24" s="4">
        <f>VLOOKUP(E24,Hubs!$A:$E,3,FALSE)</f>
        <v>42.2652</v>
      </c>
      <c r="H24" s="4">
        <f>VLOOKUP(E24,Hubs!$A:$E,4,FALSE)</f>
        <v>-71.8018</v>
      </c>
      <c r="I24" s="4">
        <f>VLOOKUP(E24,Hubs!$A:$E,5,FALSE)</f>
        <v>700</v>
      </c>
      <c r="J24" s="4">
        <f t="shared" si="0"/>
        <v>2</v>
      </c>
      <c r="K24" s="4">
        <f t="shared" si="5"/>
        <v>56.753394448941613</v>
      </c>
      <c r="L24" s="4">
        <f t="shared" si="1"/>
        <v>0.21732733576915472</v>
      </c>
      <c r="M24" s="4">
        <f t="shared" si="2"/>
        <v>235.7637614834006</v>
      </c>
      <c r="N24" s="4">
        <f t="shared" si="3"/>
        <v>9.2180127429997789E-4</v>
      </c>
      <c r="O24" s="4">
        <f t="shared" si="4"/>
        <v>429.8036711614792</v>
      </c>
    </row>
    <row r="25" spans="1:15">
      <c r="A25" s="8" t="s">
        <v>14</v>
      </c>
      <c r="B25" s="4">
        <f>VLOOKUP(A25,Counties!$A:$D,4,FALSE)</f>
        <v>161810</v>
      </c>
      <c r="C25" s="4">
        <f>VLOOKUP(A25,Counties!$A:$C,2,FALSE)</f>
        <v>42.342489999999998</v>
      </c>
      <c r="D25" s="4">
        <f>VLOOKUP(A25,Counties!$A:$D,3,FALSE)</f>
        <v>-72.685040000000001</v>
      </c>
      <c r="E25" s="4" t="s">
        <v>27</v>
      </c>
      <c r="F25" s="4" t="str">
        <f>VLOOKUP(E25,Hubs!$A:$E,2,FALSE)</f>
        <v>Boston</v>
      </c>
      <c r="G25" s="4">
        <f>VLOOKUP(E25,Hubs!$A:$E,3,FALSE)</f>
        <v>42.360100000000003</v>
      </c>
      <c r="H25" s="4">
        <f>VLOOKUP(E25,Hubs!$A:$E,4,FALSE)</f>
        <v>-71.058899999999994</v>
      </c>
      <c r="I25" s="4">
        <f>VLOOKUP(E25,Hubs!$A:$E,5,FALSE)</f>
        <v>1000</v>
      </c>
      <c r="J25" s="4">
        <f t="shared" si="0"/>
        <v>2</v>
      </c>
      <c r="K25" s="4">
        <f t="shared" si="5"/>
        <v>112.21023910991279</v>
      </c>
      <c r="L25" s="4">
        <f t="shared" si="1"/>
        <v>7.9420940265555073E-2</v>
      </c>
      <c r="M25" s="4">
        <f t="shared" si="2"/>
        <v>2.7689135611419613</v>
      </c>
      <c r="N25" s="4">
        <f t="shared" si="3"/>
        <v>2.8683069554832949E-2</v>
      </c>
      <c r="O25" s="4">
        <f t="shared" si="4"/>
        <v>4641.2074846675196</v>
      </c>
    </row>
    <row r="26" spans="1:15">
      <c r="A26" s="8" t="s">
        <v>14</v>
      </c>
      <c r="B26" s="4">
        <f>VLOOKUP(A26,Counties!$A:$D,4,FALSE)</f>
        <v>161810</v>
      </c>
      <c r="C26" s="4">
        <f>VLOOKUP(A26,Counties!$A:$C,2,FALSE)</f>
        <v>42.342489999999998</v>
      </c>
      <c r="D26" s="4">
        <f>VLOOKUP(A26,Counties!$A:$D,3,FALSE)</f>
        <v>-72.685040000000001</v>
      </c>
      <c r="E26" s="4" t="s">
        <v>29</v>
      </c>
      <c r="F26" s="4" t="str">
        <f>VLOOKUP(E26,Hubs!$A:$E,2,FALSE)</f>
        <v>Springfield</v>
      </c>
      <c r="G26" s="4">
        <f>VLOOKUP(E26,Hubs!$A:$E,3,FALSE)</f>
        <v>42.101500000000001</v>
      </c>
      <c r="H26" s="4">
        <f>VLOOKUP(E26,Hubs!$A:$E,4,FALSE)</f>
        <v>-72.589799999999997</v>
      </c>
      <c r="I26" s="4">
        <f>VLOOKUP(E26,Hubs!$A:$E,5,FALSE)</f>
        <v>800</v>
      </c>
      <c r="J26" s="4">
        <f t="shared" si="0"/>
        <v>2</v>
      </c>
      <c r="K26" s="4">
        <f t="shared" si="5"/>
        <v>17.879767735899023</v>
      </c>
      <c r="L26" s="4">
        <f t="shared" si="1"/>
        <v>2.5024547964074086</v>
      </c>
      <c r="M26" s="4">
        <f t="shared" si="2"/>
        <v>2.7689135611419613</v>
      </c>
      <c r="N26" s="4">
        <f t="shared" si="3"/>
        <v>0.90376775625142336</v>
      </c>
      <c r="O26" s="4">
        <f t="shared" si="4"/>
        <v>146238.66063904282</v>
      </c>
    </row>
    <row r="27" spans="1:15">
      <c r="A27" s="8" t="s">
        <v>14</v>
      </c>
      <c r="B27" s="4">
        <f>VLOOKUP(A27,Counties!$A:$D,4,FALSE)</f>
        <v>161810</v>
      </c>
      <c r="C27" s="4">
        <f>VLOOKUP(A27,Counties!$A:$C,2,FALSE)</f>
        <v>42.342489999999998</v>
      </c>
      <c r="D27" s="4">
        <f>VLOOKUP(A27,Counties!$A:$D,3,FALSE)</f>
        <v>-72.685040000000001</v>
      </c>
      <c r="E27" s="4" t="s">
        <v>31</v>
      </c>
      <c r="F27" s="4" t="str">
        <f>VLOOKUP(E27,Hubs!$A:$E,2,FALSE)</f>
        <v>Worcester</v>
      </c>
      <c r="G27" s="4">
        <f>VLOOKUP(E27,Hubs!$A:$E,3,FALSE)</f>
        <v>42.2652</v>
      </c>
      <c r="H27" s="4">
        <f>VLOOKUP(E27,Hubs!$A:$E,4,FALSE)</f>
        <v>-71.8018</v>
      </c>
      <c r="I27" s="4">
        <f>VLOOKUP(E27,Hubs!$A:$E,5,FALSE)</f>
        <v>700</v>
      </c>
      <c r="J27" s="4">
        <f t="shared" si="0"/>
        <v>2</v>
      </c>
      <c r="K27" s="4">
        <f t="shared" si="5"/>
        <v>61.176453812996584</v>
      </c>
      <c r="L27" s="4">
        <f t="shared" si="1"/>
        <v>0.18703782446899744</v>
      </c>
      <c r="M27" s="4">
        <f t="shared" si="2"/>
        <v>2.7689135611419613</v>
      </c>
      <c r="N27" s="4">
        <f t="shared" si="3"/>
        <v>6.7549174193743663E-2</v>
      </c>
      <c r="O27" s="4">
        <f t="shared" si="4"/>
        <v>10930.131876289663</v>
      </c>
    </row>
    <row r="28" spans="1:15">
      <c r="A28" s="8" t="s">
        <v>15</v>
      </c>
      <c r="B28" s="4">
        <f>VLOOKUP(A28,Counties!$A:$D,4,FALSE)</f>
        <v>1623411</v>
      </c>
      <c r="C28" s="4">
        <f>VLOOKUP(A28,Counties!$A:$C,2,FALSE)</f>
        <v>42.460727779999999</v>
      </c>
      <c r="D28" s="4">
        <f>VLOOKUP(A28,Counties!$A:$D,3,FALSE)</f>
        <v>-71.325398149999998</v>
      </c>
      <c r="E28" s="4" t="s">
        <v>27</v>
      </c>
      <c r="F28" s="4" t="str">
        <f>VLOOKUP(E28,Hubs!$A:$E,2,FALSE)</f>
        <v>Boston</v>
      </c>
      <c r="G28" s="4">
        <f>VLOOKUP(E28,Hubs!$A:$E,3,FALSE)</f>
        <v>42.360100000000003</v>
      </c>
      <c r="H28" s="4">
        <f>VLOOKUP(E28,Hubs!$A:$E,4,FALSE)</f>
        <v>-71.058899999999994</v>
      </c>
      <c r="I28" s="4">
        <f>VLOOKUP(E28,Hubs!$A:$E,5,FALSE)</f>
        <v>1000</v>
      </c>
      <c r="J28" s="4">
        <f t="shared" si="0"/>
        <v>2</v>
      </c>
      <c r="K28" s="4">
        <f t="shared" si="5"/>
        <v>19.655581551944625</v>
      </c>
      <c r="L28" s="4">
        <f t="shared" si="1"/>
        <v>2.588381006206268</v>
      </c>
      <c r="M28" s="4">
        <f t="shared" si="2"/>
        <v>3.2400606302919779</v>
      </c>
      <c r="N28" s="4">
        <f t="shared" si="3"/>
        <v>0.79886807734613785</v>
      </c>
      <c r="O28" s="4">
        <f t="shared" si="4"/>
        <v>1296891.2243125711</v>
      </c>
    </row>
    <row r="29" spans="1:15">
      <c r="A29" s="8" t="s">
        <v>15</v>
      </c>
      <c r="B29" s="4">
        <f>VLOOKUP(A29,Counties!$A:$D,4,FALSE)</f>
        <v>1623411</v>
      </c>
      <c r="C29" s="4">
        <f>VLOOKUP(A29,Counties!$A:$C,2,FALSE)</f>
        <v>42.460727779999999</v>
      </c>
      <c r="D29" s="4">
        <f>VLOOKUP(A29,Counties!$A:$D,3,FALSE)</f>
        <v>-71.325398149999998</v>
      </c>
      <c r="E29" s="4" t="s">
        <v>29</v>
      </c>
      <c r="F29" s="4" t="str">
        <f>VLOOKUP(E29,Hubs!$A:$E,2,FALSE)</f>
        <v>Springfield</v>
      </c>
      <c r="G29" s="4">
        <f>VLOOKUP(E29,Hubs!$A:$E,3,FALSE)</f>
        <v>42.101500000000001</v>
      </c>
      <c r="H29" s="4">
        <f>VLOOKUP(E29,Hubs!$A:$E,4,FALSE)</f>
        <v>-72.589799999999997</v>
      </c>
      <c r="I29" s="4">
        <f>VLOOKUP(E29,Hubs!$A:$E,5,FALSE)</f>
        <v>800</v>
      </c>
      <c r="J29" s="4">
        <f t="shared" si="0"/>
        <v>2</v>
      </c>
      <c r="K29" s="4">
        <f t="shared" si="5"/>
        <v>90.696468205670627</v>
      </c>
      <c r="L29" s="4">
        <f t="shared" si="1"/>
        <v>9.7254394828906118E-2</v>
      </c>
      <c r="M29" s="4">
        <f t="shared" si="2"/>
        <v>3.2400606302919779</v>
      </c>
      <c r="N29" s="4">
        <f t="shared" si="3"/>
        <v>3.0016226832194199E-2</v>
      </c>
      <c r="O29" s="4">
        <f t="shared" si="4"/>
        <v>48728.672817879218</v>
      </c>
    </row>
    <row r="30" spans="1:15">
      <c r="A30" s="8" t="s">
        <v>15</v>
      </c>
      <c r="B30" s="4">
        <f>VLOOKUP(A30,Counties!$A:$D,4,FALSE)</f>
        <v>1623411</v>
      </c>
      <c r="C30" s="4">
        <f>VLOOKUP(A30,Counties!$A:$C,2,FALSE)</f>
        <v>42.460727779999999</v>
      </c>
      <c r="D30" s="4">
        <f>VLOOKUP(A30,Counties!$A:$D,3,FALSE)</f>
        <v>-71.325398149999998</v>
      </c>
      <c r="E30" s="4" t="s">
        <v>31</v>
      </c>
      <c r="F30" s="4" t="str">
        <f>VLOOKUP(E30,Hubs!$A:$E,2,FALSE)</f>
        <v>Worcester</v>
      </c>
      <c r="G30" s="4">
        <f>VLOOKUP(E30,Hubs!$A:$E,3,FALSE)</f>
        <v>42.2652</v>
      </c>
      <c r="H30" s="4">
        <f>VLOOKUP(E30,Hubs!$A:$E,4,FALSE)</f>
        <v>-71.8018</v>
      </c>
      <c r="I30" s="4">
        <f>VLOOKUP(E30,Hubs!$A:$E,5,FALSE)</f>
        <v>700</v>
      </c>
      <c r="J30" s="4">
        <f t="shared" si="0"/>
        <v>2</v>
      </c>
      <c r="K30" s="4">
        <f t="shared" si="5"/>
        <v>35.53264423747212</v>
      </c>
      <c r="L30" s="4">
        <f t="shared" si="1"/>
        <v>0.55442522925680382</v>
      </c>
      <c r="M30" s="4">
        <f t="shared" si="2"/>
        <v>3.2400606302919779</v>
      </c>
      <c r="N30" s="4">
        <f t="shared" si="3"/>
        <v>0.17111569582166794</v>
      </c>
      <c r="O30" s="4">
        <f t="shared" si="4"/>
        <v>277791.10286954977</v>
      </c>
    </row>
    <row r="31" spans="1:15">
      <c r="A31" s="8" t="s">
        <v>16</v>
      </c>
      <c r="B31" s="4">
        <f>VLOOKUP(A31,Counties!$A:$D,4,FALSE)</f>
        <v>13795</v>
      </c>
      <c r="C31" s="4">
        <f>VLOOKUP(A31,Counties!$A:$C,2,FALSE)</f>
        <v>41.283499999999997</v>
      </c>
      <c r="D31" s="4">
        <f>VLOOKUP(A31,Counties!$A:$D,3,FALSE)</f>
        <v>-70.099500000000006</v>
      </c>
      <c r="E31" s="4" t="s">
        <v>27</v>
      </c>
      <c r="F31" s="4" t="str">
        <f>VLOOKUP(E31,Hubs!$A:$E,2,FALSE)</f>
        <v>Boston</v>
      </c>
      <c r="G31" s="4">
        <f>VLOOKUP(E31,Hubs!$A:$E,3,FALSE)</f>
        <v>42.360100000000003</v>
      </c>
      <c r="H31" s="4">
        <f>VLOOKUP(E31,Hubs!$A:$E,4,FALSE)</f>
        <v>-71.058899999999994</v>
      </c>
      <c r="I31" s="4">
        <f>VLOOKUP(E31,Hubs!$A:$E,5,FALSE)</f>
        <v>1000</v>
      </c>
      <c r="J31" s="4">
        <f t="shared" si="0"/>
        <v>2</v>
      </c>
      <c r="K31" s="4">
        <f t="shared" si="5"/>
        <v>99.501634635416693</v>
      </c>
      <c r="L31" s="4">
        <f t="shared" si="1"/>
        <v>0.10100423159176469</v>
      </c>
      <c r="M31" s="4">
        <f t="shared" si="2"/>
        <v>0.16353522011734536</v>
      </c>
      <c r="N31" s="4">
        <f t="shared" si="3"/>
        <v>0.61762983850994724</v>
      </c>
      <c r="O31" s="4">
        <f t="shared" si="4"/>
        <v>8520.2036222447223</v>
      </c>
    </row>
    <row r="32" spans="1:15">
      <c r="A32" s="8" t="s">
        <v>16</v>
      </c>
      <c r="B32" s="4">
        <f>VLOOKUP(A32,Counties!$A:$D,4,FALSE)</f>
        <v>13795</v>
      </c>
      <c r="C32" s="4">
        <f>VLOOKUP(A32,Counties!$A:$C,2,FALSE)</f>
        <v>41.283499999999997</v>
      </c>
      <c r="D32" s="4">
        <f>VLOOKUP(A32,Counties!$A:$D,3,FALSE)</f>
        <v>-70.099500000000006</v>
      </c>
      <c r="E32" s="4" t="s">
        <v>29</v>
      </c>
      <c r="F32" s="4" t="str">
        <f>VLOOKUP(E32,Hubs!$A:$E,2,FALSE)</f>
        <v>Springfield</v>
      </c>
      <c r="G32" s="4">
        <f>VLOOKUP(E32,Hubs!$A:$E,3,FALSE)</f>
        <v>42.101500000000001</v>
      </c>
      <c r="H32" s="4">
        <f>VLOOKUP(E32,Hubs!$A:$E,4,FALSE)</f>
        <v>-72.589799999999997</v>
      </c>
      <c r="I32" s="4">
        <f>VLOOKUP(E32,Hubs!$A:$E,5,FALSE)</f>
        <v>800</v>
      </c>
      <c r="J32" s="4">
        <f t="shared" si="0"/>
        <v>2</v>
      </c>
      <c r="K32" s="4">
        <f t="shared" si="5"/>
        <v>180.86317708834437</v>
      </c>
      <c r="L32" s="4">
        <f t="shared" si="1"/>
        <v>2.4456239342801136E-2</v>
      </c>
      <c r="M32" s="4">
        <f t="shared" si="2"/>
        <v>0.16353522011734536</v>
      </c>
      <c r="N32" s="4">
        <f t="shared" si="3"/>
        <v>0.14954723102003631</v>
      </c>
      <c r="O32" s="4">
        <f t="shared" si="4"/>
        <v>2063.0040519214008</v>
      </c>
    </row>
    <row r="33" spans="1:15">
      <c r="A33" s="8" t="s">
        <v>16</v>
      </c>
      <c r="B33" s="4">
        <f>VLOOKUP(A33,Counties!$A:$D,4,FALSE)</f>
        <v>13795</v>
      </c>
      <c r="C33" s="4">
        <f>VLOOKUP(A33,Counties!$A:$C,2,FALSE)</f>
        <v>41.283499999999997</v>
      </c>
      <c r="D33" s="4">
        <f>VLOOKUP(A33,Counties!$A:$D,3,FALSE)</f>
        <v>-70.099500000000006</v>
      </c>
      <c r="E33" s="4" t="s">
        <v>31</v>
      </c>
      <c r="F33" s="4" t="str">
        <f>VLOOKUP(E33,Hubs!$A:$E,2,FALSE)</f>
        <v>Worcester</v>
      </c>
      <c r="G33" s="4">
        <f>VLOOKUP(E33,Hubs!$A:$E,3,FALSE)</f>
        <v>42.2652</v>
      </c>
      <c r="H33" s="4">
        <f>VLOOKUP(E33,Hubs!$A:$E,4,FALSE)</f>
        <v>-71.8018</v>
      </c>
      <c r="I33" s="4">
        <f>VLOOKUP(E33,Hubs!$A:$E,5,FALSE)</f>
        <v>700</v>
      </c>
      <c r="J33" s="4">
        <f t="shared" si="0"/>
        <v>2</v>
      </c>
      <c r="K33" s="4">
        <f t="shared" si="5"/>
        <v>135.59088471198916</v>
      </c>
      <c r="L33" s="4">
        <f t="shared" si="1"/>
        <v>3.8074749182779526E-2</v>
      </c>
      <c r="M33" s="4">
        <f t="shared" si="2"/>
        <v>0.16353522011734536</v>
      </c>
      <c r="N33" s="4">
        <f t="shared" si="3"/>
        <v>0.2328229304700164</v>
      </c>
      <c r="O33" s="4">
        <f t="shared" si="4"/>
        <v>3211.792325833876</v>
      </c>
    </row>
    <row r="34" spans="1:15">
      <c r="A34" s="8" t="s">
        <v>17</v>
      </c>
      <c r="B34" s="4">
        <f>VLOOKUP(A34,Counties!$A:$D,4,FALSE)</f>
        <v>720403</v>
      </c>
      <c r="C34" s="4">
        <f>VLOOKUP(A34,Counties!$A:$C,2,FALSE)</f>
        <v>42.182442860000002</v>
      </c>
      <c r="D34" s="4">
        <f>VLOOKUP(A34,Counties!$A:$D,3,FALSE)</f>
        <v>-71.196432139999999</v>
      </c>
      <c r="E34" s="4" t="s">
        <v>27</v>
      </c>
      <c r="F34" s="4" t="str">
        <f>VLOOKUP(E34,Hubs!$A:$E,2,FALSE)</f>
        <v>Boston</v>
      </c>
      <c r="G34" s="4">
        <f>VLOOKUP(E34,Hubs!$A:$E,3,FALSE)</f>
        <v>42.360100000000003</v>
      </c>
      <c r="H34" s="4">
        <f>VLOOKUP(E34,Hubs!$A:$E,4,FALSE)</f>
        <v>-71.058899999999994</v>
      </c>
      <c r="I34" s="4">
        <f>VLOOKUP(E34,Hubs!$A:$E,5,FALSE)</f>
        <v>1000</v>
      </c>
      <c r="J34" s="4">
        <f t="shared" si="0"/>
        <v>2</v>
      </c>
      <c r="K34" s="4">
        <f t="shared" si="5"/>
        <v>15.50231292538308</v>
      </c>
      <c r="L34" s="4">
        <f t="shared" si="1"/>
        <v>4.1610889690010904</v>
      </c>
      <c r="M34" s="4">
        <f t="shared" si="2"/>
        <v>4.6411864759417822</v>
      </c>
      <c r="N34" s="4">
        <f t="shared" si="3"/>
        <v>0.89655716066800117</v>
      </c>
      <c r="O34" s="4">
        <f t="shared" si="4"/>
        <v>645882.46821671003</v>
      </c>
    </row>
    <row r="35" spans="1:15">
      <c r="A35" s="8" t="s">
        <v>17</v>
      </c>
      <c r="B35" s="4">
        <f>VLOOKUP(A35,Counties!$A:$D,4,FALSE)</f>
        <v>720403</v>
      </c>
      <c r="C35" s="4">
        <f>VLOOKUP(A35,Counties!$A:$C,2,FALSE)</f>
        <v>42.182442860000002</v>
      </c>
      <c r="D35" s="4">
        <f>VLOOKUP(A35,Counties!$A:$D,3,FALSE)</f>
        <v>-71.196432139999999</v>
      </c>
      <c r="E35" s="4" t="s">
        <v>29</v>
      </c>
      <c r="F35" s="4" t="str">
        <f>VLOOKUP(E35,Hubs!$A:$E,2,FALSE)</f>
        <v>Springfield</v>
      </c>
      <c r="G35" s="4">
        <f>VLOOKUP(E35,Hubs!$A:$E,3,FALSE)</f>
        <v>42.101500000000001</v>
      </c>
      <c r="H35" s="4">
        <f>VLOOKUP(E35,Hubs!$A:$E,4,FALSE)</f>
        <v>-72.589799999999997</v>
      </c>
      <c r="I35" s="4">
        <f>VLOOKUP(E35,Hubs!$A:$E,5,FALSE)</f>
        <v>800</v>
      </c>
      <c r="J35" s="4">
        <f t="shared" si="0"/>
        <v>2</v>
      </c>
      <c r="K35" s="4">
        <f t="shared" si="5"/>
        <v>96.304467951916976</v>
      </c>
      <c r="L35" s="4">
        <f t="shared" si="1"/>
        <v>8.6257549182853749E-2</v>
      </c>
      <c r="M35" s="4">
        <f t="shared" si="2"/>
        <v>4.6411864759417822</v>
      </c>
      <c r="N35" s="4">
        <f t="shared" si="3"/>
        <v>1.858523669108781E-2</v>
      </c>
      <c r="O35" s="4">
        <f t="shared" si="4"/>
        <v>13388.860267969732</v>
      </c>
    </row>
    <row r="36" spans="1:15">
      <c r="A36" s="8" t="s">
        <v>17</v>
      </c>
      <c r="B36" s="4">
        <f>VLOOKUP(A36,Counties!$A:$D,4,FALSE)</f>
        <v>720403</v>
      </c>
      <c r="C36" s="4">
        <f>VLOOKUP(A36,Counties!$A:$C,2,FALSE)</f>
        <v>42.182442860000002</v>
      </c>
      <c r="D36" s="4">
        <f>VLOOKUP(A36,Counties!$A:$D,3,FALSE)</f>
        <v>-71.196432139999999</v>
      </c>
      <c r="E36" s="4" t="s">
        <v>31</v>
      </c>
      <c r="F36" s="4" t="str">
        <f>VLOOKUP(E36,Hubs!$A:$E,2,FALSE)</f>
        <v>Worcester</v>
      </c>
      <c r="G36" s="4">
        <f>VLOOKUP(E36,Hubs!$A:$E,3,FALSE)</f>
        <v>42.2652</v>
      </c>
      <c r="H36" s="4">
        <f>VLOOKUP(E36,Hubs!$A:$E,4,FALSE)</f>
        <v>-71.8018</v>
      </c>
      <c r="I36" s="4">
        <f>VLOOKUP(E36,Hubs!$A:$E,5,FALSE)</f>
        <v>700</v>
      </c>
      <c r="J36" s="4">
        <f t="shared" si="0"/>
        <v>2</v>
      </c>
      <c r="K36" s="4">
        <f t="shared" si="5"/>
        <v>42.158886513591334</v>
      </c>
      <c r="L36" s="4">
        <f t="shared" si="1"/>
        <v>0.39383995775783814</v>
      </c>
      <c r="M36" s="4">
        <f t="shared" si="2"/>
        <v>4.6411864759417822</v>
      </c>
      <c r="N36" s="4">
        <f t="shared" si="3"/>
        <v>8.4857602640911078E-2</v>
      </c>
      <c r="O36" s="4">
        <f t="shared" si="4"/>
        <v>61131.67151532026</v>
      </c>
    </row>
    <row r="37" spans="1:15">
      <c r="A37" s="8" t="s">
        <v>18</v>
      </c>
      <c r="B37" s="4">
        <f>VLOOKUP(A37,Counties!$A:$D,4,FALSE)</f>
        <v>527602</v>
      </c>
      <c r="C37" s="4">
        <f>VLOOKUP(A37,Counties!$A:$C,2,FALSE)</f>
        <v>41.99928148</v>
      </c>
      <c r="D37" s="4">
        <f>VLOOKUP(A37,Counties!$A:$D,3,FALSE)</f>
        <v>-70.850918519999993</v>
      </c>
      <c r="E37" s="4" t="s">
        <v>27</v>
      </c>
      <c r="F37" s="4" t="str">
        <f>VLOOKUP(E37,Hubs!$A:$E,2,FALSE)</f>
        <v>Boston</v>
      </c>
      <c r="G37" s="4">
        <f>VLOOKUP(E37,Hubs!$A:$E,3,FALSE)</f>
        <v>42.360100000000003</v>
      </c>
      <c r="H37" s="4">
        <f>VLOOKUP(E37,Hubs!$A:$E,4,FALSE)</f>
        <v>-71.058899999999994</v>
      </c>
      <c r="I37" s="4">
        <f>VLOOKUP(E37,Hubs!$A:$E,5,FALSE)</f>
        <v>1000</v>
      </c>
      <c r="J37" s="4">
        <f t="shared" si="0"/>
        <v>2</v>
      </c>
      <c r="K37" s="4">
        <f t="shared" si="5"/>
        <v>28.736350432767139</v>
      </c>
      <c r="L37" s="4">
        <f t="shared" si="1"/>
        <v>1.2109794622340844</v>
      </c>
      <c r="M37" s="4">
        <f t="shared" si="2"/>
        <v>1.4171747254385527</v>
      </c>
      <c r="N37" s="4">
        <f t="shared" si="3"/>
        <v>0.85450258214232544</v>
      </c>
      <c r="O37" s="4">
        <f t="shared" si="4"/>
        <v>450837.27134345518</v>
      </c>
    </row>
    <row r="38" spans="1:15">
      <c r="A38" s="8" t="s">
        <v>18</v>
      </c>
      <c r="B38" s="4">
        <f>VLOOKUP(A38,Counties!$A:$D,4,FALSE)</f>
        <v>527602</v>
      </c>
      <c r="C38" s="4">
        <f>VLOOKUP(A38,Counties!$A:$C,2,FALSE)</f>
        <v>41.99928148</v>
      </c>
      <c r="D38" s="4">
        <f>VLOOKUP(A38,Counties!$A:$D,3,FALSE)</f>
        <v>-70.850918519999993</v>
      </c>
      <c r="E38" s="4" t="s">
        <v>29</v>
      </c>
      <c r="F38" s="4" t="str">
        <f>VLOOKUP(E38,Hubs!$A:$E,2,FALSE)</f>
        <v>Springfield</v>
      </c>
      <c r="G38" s="4">
        <f>VLOOKUP(E38,Hubs!$A:$E,3,FALSE)</f>
        <v>42.101500000000001</v>
      </c>
      <c r="H38" s="4">
        <f>VLOOKUP(E38,Hubs!$A:$E,4,FALSE)</f>
        <v>-72.589799999999997</v>
      </c>
      <c r="I38" s="4">
        <f>VLOOKUP(E38,Hubs!$A:$E,5,FALSE)</f>
        <v>800</v>
      </c>
      <c r="J38" s="4">
        <f t="shared" si="0"/>
        <v>2</v>
      </c>
      <c r="K38" s="4">
        <f t="shared" si="5"/>
        <v>120.18994763066071</v>
      </c>
      <c r="L38" s="4">
        <f t="shared" si="1"/>
        <v>5.5380094833932969E-2</v>
      </c>
      <c r="M38" s="4">
        <f t="shared" si="2"/>
        <v>1.4171747254385527</v>
      </c>
      <c r="N38" s="4">
        <f t="shared" si="3"/>
        <v>3.9077817180796309E-2</v>
      </c>
      <c r="O38" s="4">
        <f t="shared" si="4"/>
        <v>20617.534500222493</v>
      </c>
    </row>
    <row r="39" spans="1:15">
      <c r="A39" s="8" t="s">
        <v>18</v>
      </c>
      <c r="B39" s="4">
        <f>VLOOKUP(A39,Counties!$A:$D,4,FALSE)</f>
        <v>527602</v>
      </c>
      <c r="C39" s="4">
        <f>VLOOKUP(A39,Counties!$A:$C,2,FALSE)</f>
        <v>41.99928148</v>
      </c>
      <c r="D39" s="4">
        <f>VLOOKUP(A39,Counties!$A:$D,3,FALSE)</f>
        <v>-70.850918519999993</v>
      </c>
      <c r="E39" s="4" t="s">
        <v>31</v>
      </c>
      <c r="F39" s="4" t="str">
        <f>VLOOKUP(E39,Hubs!$A:$E,2,FALSE)</f>
        <v>Worcester</v>
      </c>
      <c r="G39" s="4">
        <f>VLOOKUP(E39,Hubs!$A:$E,3,FALSE)</f>
        <v>42.2652</v>
      </c>
      <c r="H39" s="4">
        <f>VLOOKUP(E39,Hubs!$A:$E,4,FALSE)</f>
        <v>-71.8018</v>
      </c>
      <c r="I39" s="4">
        <f>VLOOKUP(E39,Hubs!$A:$E,5,FALSE)</f>
        <v>700</v>
      </c>
      <c r="J39" s="4">
        <f t="shared" si="0"/>
        <v>2</v>
      </c>
      <c r="K39" s="4">
        <f t="shared" si="5"/>
        <v>68.12813625874125</v>
      </c>
      <c r="L39" s="4">
        <f t="shared" si="1"/>
        <v>0.15081516837053546</v>
      </c>
      <c r="M39" s="4">
        <f t="shared" si="2"/>
        <v>1.4171747254385527</v>
      </c>
      <c r="N39" s="4">
        <f t="shared" si="3"/>
        <v>0.10641960067687833</v>
      </c>
      <c r="O39" s="4">
        <f t="shared" si="4"/>
        <v>56147.194156322366</v>
      </c>
    </row>
    <row r="40" spans="1:15">
      <c r="A40" s="8" t="s">
        <v>19</v>
      </c>
      <c r="B40" s="4">
        <f>VLOOKUP(A40,Counties!$A:$D,4,FALSE)</f>
        <v>792647</v>
      </c>
      <c r="C40" s="4">
        <f>VLOOKUP(A40,Counties!$A:$C,2,FALSE)</f>
        <v>42.383150000000001</v>
      </c>
      <c r="D40" s="4">
        <f>VLOOKUP(A40,Counties!$A:$D,3,FALSE)</f>
        <v>-71.028599999999997</v>
      </c>
      <c r="E40" s="4" t="s">
        <v>27</v>
      </c>
      <c r="F40" s="4" t="str">
        <f>VLOOKUP(E40,Hubs!$A:$E,2,FALSE)</f>
        <v>Boston</v>
      </c>
      <c r="G40" s="4">
        <f>VLOOKUP(E40,Hubs!$A:$E,3,FALSE)</f>
        <v>42.360100000000003</v>
      </c>
      <c r="H40" s="4">
        <f>VLOOKUP(E40,Hubs!$A:$E,4,FALSE)</f>
        <v>-71.058899999999994</v>
      </c>
      <c r="I40" s="4">
        <f>VLOOKUP(E40,Hubs!$A:$E,5,FALSE)</f>
        <v>1000</v>
      </c>
      <c r="J40" s="4">
        <f t="shared" si="0"/>
        <v>2</v>
      </c>
      <c r="K40" s="4">
        <f t="shared" si="5"/>
        <v>2.6268912601207184</v>
      </c>
      <c r="L40" s="4">
        <f t="shared" si="1"/>
        <v>144.91582341048598</v>
      </c>
      <c r="M40" s="4">
        <f t="shared" si="2"/>
        <v>145.22293064599987</v>
      </c>
      <c r="N40" s="4">
        <f t="shared" si="3"/>
        <v>0.99788527036227836</v>
      </c>
      <c r="O40" s="4">
        <f t="shared" si="4"/>
        <v>790970.76589684887</v>
      </c>
    </row>
    <row r="41" spans="1:15">
      <c r="A41" s="8" t="s">
        <v>19</v>
      </c>
      <c r="B41" s="4">
        <f>VLOOKUP(A41,Counties!$A:$D,4,FALSE)</f>
        <v>792647</v>
      </c>
      <c r="C41" s="4">
        <f>VLOOKUP(A41,Counties!$A:$C,2,FALSE)</f>
        <v>42.383150000000001</v>
      </c>
      <c r="D41" s="4">
        <f>VLOOKUP(A41,Counties!$A:$D,3,FALSE)</f>
        <v>-71.028599999999997</v>
      </c>
      <c r="E41" s="4" t="s">
        <v>29</v>
      </c>
      <c r="F41" s="4" t="str">
        <f>VLOOKUP(E41,Hubs!$A:$E,2,FALSE)</f>
        <v>Springfield</v>
      </c>
      <c r="G41" s="4">
        <f>VLOOKUP(E41,Hubs!$A:$E,3,FALSE)</f>
        <v>42.101500000000001</v>
      </c>
      <c r="H41" s="4">
        <f>VLOOKUP(E41,Hubs!$A:$E,4,FALSE)</f>
        <v>-72.589799999999997</v>
      </c>
      <c r="I41" s="4">
        <f>VLOOKUP(E41,Hubs!$A:$E,5,FALSE)</f>
        <v>800</v>
      </c>
      <c r="J41" s="4">
        <f t="shared" si="0"/>
        <v>2</v>
      </c>
      <c r="K41" s="4">
        <f t="shared" si="5"/>
        <v>109.46175663519423</v>
      </c>
      <c r="L41" s="4">
        <f t="shared" si="1"/>
        <v>6.6767506936236745E-2</v>
      </c>
      <c r="M41" s="4">
        <f t="shared" si="2"/>
        <v>145.22293064599987</v>
      </c>
      <c r="N41" s="4">
        <f t="shared" si="3"/>
        <v>4.597587077965765E-4</v>
      </c>
      <c r="O41" s="4">
        <f t="shared" si="4"/>
        <v>364.42636045883296</v>
      </c>
    </row>
    <row r="42" spans="1:15">
      <c r="A42" s="8" t="s">
        <v>19</v>
      </c>
      <c r="B42" s="4">
        <f>VLOOKUP(A42,Counties!$A:$D,4,FALSE)</f>
        <v>792647</v>
      </c>
      <c r="C42" s="4">
        <f>VLOOKUP(A42,Counties!$A:$C,2,FALSE)</f>
        <v>42.383150000000001</v>
      </c>
      <c r="D42" s="4">
        <f>VLOOKUP(A42,Counties!$A:$D,3,FALSE)</f>
        <v>-71.028599999999997</v>
      </c>
      <c r="E42" s="4" t="s">
        <v>31</v>
      </c>
      <c r="F42" s="4" t="str">
        <f>VLOOKUP(E42,Hubs!$A:$E,2,FALSE)</f>
        <v>Worcester</v>
      </c>
      <c r="G42" s="4">
        <f>VLOOKUP(E42,Hubs!$A:$E,3,FALSE)</f>
        <v>42.2652</v>
      </c>
      <c r="H42" s="4">
        <f>VLOOKUP(E42,Hubs!$A:$E,4,FALSE)</f>
        <v>-71.8018</v>
      </c>
      <c r="I42" s="4">
        <f>VLOOKUP(E42,Hubs!$A:$E,5,FALSE)</f>
        <v>700</v>
      </c>
      <c r="J42" s="4">
        <f t="shared" si="0"/>
        <v>2</v>
      </c>
      <c r="K42" s="4">
        <f t="shared" si="5"/>
        <v>53.967989185650794</v>
      </c>
      <c r="L42" s="4">
        <f t="shared" si="1"/>
        <v>0.24033972857765021</v>
      </c>
      <c r="M42" s="4">
        <f t="shared" si="2"/>
        <v>145.22293064599987</v>
      </c>
      <c r="N42" s="4">
        <f t="shared" si="3"/>
        <v>1.6549709299250415E-3</v>
      </c>
      <c r="O42" s="4">
        <f t="shared" si="4"/>
        <v>1311.8077426922944</v>
      </c>
    </row>
    <row r="43" spans="1:15">
      <c r="A43" s="8" t="s">
        <v>20</v>
      </c>
      <c r="B43" s="4">
        <f>VLOOKUP(A43,Counties!$A:$D,4,FALSE)</f>
        <v>856858</v>
      </c>
      <c r="C43" s="4">
        <f>VLOOKUP(A43,Counties!$A:$C,2,FALSE)</f>
        <v>42.31805833</v>
      </c>
      <c r="D43" s="4">
        <f>VLOOKUP(A43,Counties!$A:$D,3,FALSE)</f>
        <v>-71.840493330000001</v>
      </c>
      <c r="E43" s="4" t="s">
        <v>27</v>
      </c>
      <c r="F43" s="4" t="str">
        <f>VLOOKUP(E43,Hubs!$A:$E,2,FALSE)</f>
        <v>Boston</v>
      </c>
      <c r="G43" s="4">
        <f>VLOOKUP(E43,Hubs!$A:$E,3,FALSE)</f>
        <v>42.360100000000003</v>
      </c>
      <c r="H43" s="4">
        <f>VLOOKUP(E43,Hubs!$A:$E,4,FALSE)</f>
        <v>-71.058899999999994</v>
      </c>
      <c r="I43" s="4">
        <f>VLOOKUP(E43,Hubs!$A:$E,5,FALSE)</f>
        <v>1000</v>
      </c>
      <c r="J43" s="4">
        <f t="shared" si="0"/>
        <v>2</v>
      </c>
      <c r="K43" s="4">
        <f t="shared" si="5"/>
        <v>54.007902020870127</v>
      </c>
      <c r="L43" s="4">
        <f t="shared" si="1"/>
        <v>0.34283518408385</v>
      </c>
      <c r="M43" s="4">
        <f t="shared" si="2"/>
        <v>34.881887826816495</v>
      </c>
      <c r="N43" s="4">
        <f t="shared" si="3"/>
        <v>9.8284584190505078E-3</v>
      </c>
      <c r="O43" s="4">
        <f t="shared" si="4"/>
        <v>8421.5932240307793</v>
      </c>
    </row>
    <row r="44" spans="1:15">
      <c r="A44" s="8" t="s">
        <v>20</v>
      </c>
      <c r="B44" s="4">
        <f>VLOOKUP(A44,Counties!$A:$D,4,FALSE)</f>
        <v>856858</v>
      </c>
      <c r="C44" s="4">
        <f>VLOOKUP(A44,Counties!$A:$C,2,FALSE)</f>
        <v>42.31805833</v>
      </c>
      <c r="D44" s="4">
        <f>VLOOKUP(A44,Counties!$A:$D,3,FALSE)</f>
        <v>-71.840493330000001</v>
      </c>
      <c r="E44" s="4" t="s">
        <v>29</v>
      </c>
      <c r="F44" s="4" t="str">
        <f>VLOOKUP(E44,Hubs!$A:$E,2,FALSE)</f>
        <v>Springfield</v>
      </c>
      <c r="G44" s="4">
        <f>VLOOKUP(E44,Hubs!$A:$E,3,FALSE)</f>
        <v>42.101500000000001</v>
      </c>
      <c r="H44" s="4">
        <f>VLOOKUP(E44,Hubs!$A:$E,4,FALSE)</f>
        <v>-72.589799999999997</v>
      </c>
      <c r="I44" s="4">
        <f>VLOOKUP(E44,Hubs!$A:$E,5,FALSE)</f>
        <v>800</v>
      </c>
      <c r="J44" s="4">
        <f t="shared" si="0"/>
        <v>2</v>
      </c>
      <c r="K44" s="4">
        <f t="shared" si="5"/>
        <v>53.818142098651293</v>
      </c>
      <c r="L44" s="4">
        <f t="shared" si="1"/>
        <v>0.2762056670103577</v>
      </c>
      <c r="M44" s="4">
        <f t="shared" si="2"/>
        <v>34.881887826816495</v>
      </c>
      <c r="N44" s="4">
        <f t="shared" si="3"/>
        <v>7.918311886721232E-3</v>
      </c>
      <c r="O44" s="4">
        <f t="shared" si="4"/>
        <v>6784.8688866321818</v>
      </c>
    </row>
    <row r="45" spans="1:15">
      <c r="A45" s="8" t="s">
        <v>20</v>
      </c>
      <c r="B45" s="4">
        <f>VLOOKUP(A45,Counties!$A:$D,4,FALSE)</f>
        <v>856858</v>
      </c>
      <c r="C45" s="4">
        <f>VLOOKUP(A45,Counties!$A:$C,2,FALSE)</f>
        <v>42.31805833</v>
      </c>
      <c r="D45" s="4">
        <f>VLOOKUP(A45,Counties!$A:$D,3,FALSE)</f>
        <v>-71.840493330000001</v>
      </c>
      <c r="E45" s="4" t="s">
        <v>31</v>
      </c>
      <c r="F45" s="4" t="str">
        <f>VLOOKUP(E45,Hubs!$A:$E,2,FALSE)</f>
        <v>Worcester</v>
      </c>
      <c r="G45" s="4">
        <f>VLOOKUP(E45,Hubs!$A:$E,3,FALSE)</f>
        <v>42.2652</v>
      </c>
      <c r="H45" s="4">
        <f>VLOOKUP(E45,Hubs!$A:$E,4,FALSE)</f>
        <v>-71.8018</v>
      </c>
      <c r="I45" s="4">
        <f>VLOOKUP(E45,Hubs!$A:$E,5,FALSE)</f>
        <v>700</v>
      </c>
      <c r="J45" s="4">
        <f t="shared" si="0"/>
        <v>2</v>
      </c>
      <c r="K45" s="4">
        <f t="shared" si="5"/>
        <v>4.5199881548932472</v>
      </c>
      <c r="L45" s="4">
        <f t="shared" si="1"/>
        <v>34.26284697572229</v>
      </c>
      <c r="M45" s="4">
        <f t="shared" si="2"/>
        <v>34.881887826816495</v>
      </c>
      <c r="N45" s="4">
        <f t="shared" si="3"/>
        <v>0.98225322969422835</v>
      </c>
      <c r="O45" s="4">
        <f t="shared" si="4"/>
        <v>841651.53788933717</v>
      </c>
    </row>
  </sheetData>
  <autoFilter ref="A3:O45" xr:uid="{00000000-0001-0000-03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showGridLines="0" workbookViewId="0">
      <selection activeCell="B3" sqref="B3"/>
    </sheetView>
  </sheetViews>
  <sheetFormatPr defaultColWidth="8.81640625" defaultRowHeight="14.5"/>
  <cols>
    <col min="1" max="1" width="12" customWidth="1"/>
    <col min="2" max="5" width="15" customWidth="1"/>
  </cols>
  <sheetData>
    <row r="1" spans="1: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</row>
    <row r="2" spans="1:5">
      <c r="A2" s="12" t="s">
        <v>27</v>
      </c>
      <c r="B2" s="12" t="s">
        <v>28</v>
      </c>
      <c r="C2" s="12">
        <v>42.360100000000003</v>
      </c>
      <c r="D2" s="12">
        <v>-71.058899999999994</v>
      </c>
      <c r="E2" s="12">
        <v>1000</v>
      </c>
    </row>
    <row r="3" spans="1:5">
      <c r="A3" s="12" t="s">
        <v>29</v>
      </c>
      <c r="B3" s="12" t="s">
        <v>30</v>
      </c>
      <c r="C3" s="12">
        <v>42.101500000000001</v>
      </c>
      <c r="D3" s="12">
        <v>-72.589799999999997</v>
      </c>
      <c r="E3" s="12">
        <v>800</v>
      </c>
    </row>
    <row r="4" spans="1:5">
      <c r="A4" s="12" t="s">
        <v>31</v>
      </c>
      <c r="B4" s="12" t="s">
        <v>32</v>
      </c>
      <c r="C4" s="12">
        <v>42.2652</v>
      </c>
      <c r="D4" s="12">
        <v>-71.8018</v>
      </c>
      <c r="E4" s="12">
        <v>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showGridLines="0" workbookViewId="0">
      <selection activeCell="B24" sqref="B24"/>
    </sheetView>
  </sheetViews>
  <sheetFormatPr defaultColWidth="8.81640625" defaultRowHeight="14.5"/>
  <cols>
    <col min="1" max="1" width="50.36328125" bestFit="1" customWidth="1"/>
    <col min="2" max="2" width="15" customWidth="1"/>
    <col min="3" max="3" width="18" customWidth="1"/>
    <col min="4" max="4" width="15" customWidth="1"/>
  </cols>
  <sheetData>
    <row r="1" spans="1:4" ht="18.5">
      <c r="A1" s="2" t="s">
        <v>44</v>
      </c>
    </row>
    <row r="3" spans="1:4">
      <c r="A3" s="6" t="s">
        <v>22</v>
      </c>
      <c r="B3" s="6" t="s">
        <v>23</v>
      </c>
      <c r="C3" s="6" t="s">
        <v>45</v>
      </c>
      <c r="D3" s="6" t="s">
        <v>46</v>
      </c>
    </row>
    <row r="4" spans="1:4">
      <c r="A4" s="5" t="s">
        <v>27</v>
      </c>
      <c r="B4" s="5" t="str">
        <f>VLOOKUP(A4,Hubs!$A:$E,2,FALSE)</f>
        <v>Boston</v>
      </c>
      <c r="C4" s="5">
        <f>SUMIF(Huff_Model!$E:$E,A4,Huff_Model!$O:$O)</f>
        <v>4523531.6705716895</v>
      </c>
      <c r="D4" s="5">
        <f>C4/SUM($C$4:$C$6)*100</f>
        <v>64.697188535622445</v>
      </c>
    </row>
    <row r="5" spans="1:4">
      <c r="A5" s="5" t="s">
        <v>29</v>
      </c>
      <c r="B5" s="5" t="str">
        <f>VLOOKUP(A5,Hubs!$A:$E,2,FALSE)</f>
        <v>Springfield</v>
      </c>
      <c r="C5" s="5">
        <f>SUMIF(Huff_Model!$E:$E,A5,Huff_Model!$O:$O)</f>
        <v>937253.58400041237</v>
      </c>
      <c r="D5" s="5">
        <f>C5/SUM($C$4:$C$6)*100</f>
        <v>13.404940264759786</v>
      </c>
    </row>
    <row r="6" spans="1:4">
      <c r="A6" s="5" t="s">
        <v>31</v>
      </c>
      <c r="B6" s="5" t="str">
        <f>VLOOKUP(A6,Hubs!$A:$E,2,FALSE)</f>
        <v>Worcester</v>
      </c>
      <c r="C6" s="5">
        <f>SUMIF(Huff_Model!$E:$E,A6,Huff_Model!$O:$O)</f>
        <v>1531066.7454278988</v>
      </c>
      <c r="D6" s="5">
        <f>C6/SUM($C$4:$C$6)*100</f>
        <v>21.897871199617764</v>
      </c>
    </row>
    <row r="8" spans="1:4">
      <c r="A8" s="1" t="s">
        <v>47</v>
      </c>
      <c r="C8" s="3">
        <f>SUM(C4:C6)</f>
        <v>6991852.0000000009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Counties</vt:lpstr>
      <vt:lpstr>Huff_Model</vt:lpstr>
      <vt:lpstr>Hubs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Abhijith Varma</cp:lastModifiedBy>
  <dcterms:created xsi:type="dcterms:W3CDTF">2025-12-01T21:08:27Z</dcterms:created>
  <dcterms:modified xsi:type="dcterms:W3CDTF">2025-12-07T01:17:07Z</dcterms:modified>
</cp:coreProperties>
</file>